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Config" sheetId="1" state="visible" r:id="rId1"/>
    <sheet name="6–7 Years" sheetId="2" state="visible" r:id="rId2"/>
    <sheet name="8–10 Years" sheetId="3" state="visible" r:id="rId3"/>
    <sheet name="11–13 Years" sheetId="4" state="visible" r:id="rId4"/>
    <sheet name="13–16 Years" sheetId="5" state="visible" r:id="rId5"/>
    <sheet name="Learning Objectives" sheetId="6" state="visible" r:id="rId6"/>
  </sheets>
  <definedNames>
    <definedName name="_xlnm._FilterDatabase" localSheetId="1" hidden="1">'6–7 Years'!$A$1:$N$1</definedName>
    <definedName name="_xlnm._FilterDatabase" localSheetId="2" hidden="1">'8–10 Years'!$A$1:$N$1</definedName>
    <definedName name="_xlnm._FilterDatabase" localSheetId="3" hidden="1">'11–13 Years'!$A$1:$N$1</definedName>
    <definedName name="_xlnm._FilterDatabase" localSheetId="4" hidden="1">'13–16 Years'!$A$1:$N$1</definedName>
    <definedName name="_xlnm._FilterDatabase" localSheetId="5" hidden="1">'Learning Objectives'!$A$1:$F$1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FF0E1731"/>
      <sz val="16"/>
    </font>
    <font>
      <b val="1"/>
    </font>
    <font>
      <i val="1"/>
      <color rgb="FF6B7280"/>
    </font>
    <font>
      <b val="1"/>
      <color rgb="FFF2F0EA"/>
    </font>
    <font>
      <b val="1"/>
      <color rgb="FF6B7280"/>
    </font>
    <font>
      <b val="1"/>
      <color rgb="FFF2F0EA"/>
      <sz val="11"/>
    </font>
    <font>
      <i val="1"/>
      <color rgb="FF6B7280"/>
      <sz val="10"/>
    </font>
  </fonts>
  <fills count="6">
    <fill>
      <patternFill/>
    </fill>
    <fill>
      <patternFill patternType="gray125"/>
    </fill>
    <fill>
      <patternFill patternType="solid">
        <fgColor rgb="FF16224A"/>
      </patternFill>
    </fill>
    <fill>
      <patternFill patternType="solid">
        <fgColor rgb="FFFBFAF7"/>
      </patternFill>
    </fill>
    <fill>
      <patternFill patternType="solid">
        <fgColor rgb="FF0E1731"/>
      </patternFill>
    </fill>
    <fill>
      <patternFill patternType="solid">
        <fgColor rgb="FFF1F3F9"/>
      </patternFill>
    </fill>
  </fills>
  <borders count="1">
    <border>
      <left/>
      <right/>
      <top/>
      <bottom/>
      <diagonal/>
    </border>
  </borders>
  <cellStyleXfs count="1">
    <xf numFmtId="0" fontId="0" fillId="0" borderId="0"/>
  </cellStyleXfs>
  <cellXfs count="15">
    <xf numFmtId="0" fontId="0" fillId="0" borderId="0" pivotButton="0" quotePrefix="0" xfId="0"/>
    <xf numFmtId="0" fontId="1" fillId="3" borderId="0" applyAlignment="1" pivotButton="0" quotePrefix="0" xfId="0">
      <alignment vertical="top" wrapText="1"/>
    </xf>
    <xf numFmtId="0" fontId="0" fillId="3" borderId="0" pivotButton="0" quotePrefix="0" xfId="0"/>
    <xf numFmtId="0" fontId="0" fillId="3" borderId="0" applyAlignment="1" pivotButton="0" quotePrefix="0" xfId="0">
      <alignment vertical="top" wrapText="1"/>
    </xf>
    <xf numFmtId="0" fontId="2" fillId="3" borderId="0" applyAlignment="1" pivotButton="0" quotePrefix="0" xfId="0">
      <alignment vertical="top" wrapText="1"/>
    </xf>
    <xf numFmtId="0" fontId="3" fillId="3" borderId="0" applyAlignment="1" pivotButton="0" quotePrefix="0" xfId="0">
      <alignment vertical="top" wrapText="1"/>
    </xf>
    <xf numFmtId="0" fontId="4" fillId="2" borderId="0" pivotButton="0" quotePrefix="0" xfId="0"/>
    <xf numFmtId="0" fontId="0" fillId="2" borderId="0" pivotButton="0" quotePrefix="0" xfId="0"/>
    <xf numFmtId="0" fontId="5" fillId="3" borderId="0" pivotButton="0" quotePrefix="0" xfId="0"/>
    <xf numFmtId="0" fontId="6" fillId="4" borderId="0" applyAlignment="1" pivotButton="0" quotePrefix="0" xfId="0">
      <alignment vertical="center" wrapText="1"/>
    </xf>
    <xf numFmtId="0" fontId="0" fillId="0" borderId="0" applyAlignment="1" pivotButton="0" quotePrefix="0" xfId="0">
      <alignment horizontal="center" vertical="top"/>
    </xf>
    <xf numFmtId="0" fontId="0" fillId="0" borderId="0" applyAlignment="1" pivotButton="0" quotePrefix="0" xfId="0">
      <alignment vertical="top" wrapText="1"/>
    </xf>
    <xf numFmtId="0" fontId="0" fillId="0" borderId="0" applyAlignment="1" pivotButton="0" quotePrefix="0" xfId="0">
      <alignment vertical="top"/>
    </xf>
    <xf numFmtId="0" fontId="7" fillId="5" borderId="0" applyAlignment="1" pivotButton="0" quotePrefix="0" xfId="0">
      <alignment vertical="top" wrapText="1"/>
    </xf>
    <xf numFmtId="0" fontId="7" fillId="5" borderId="0"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46" customWidth="1" min="1" max="1"/>
    <col width="26" customWidth="1" min="2" max="2"/>
    <col width="26" customWidth="1" min="3" max="3"/>
    <col width="10" customWidth="1" min="4" max="4"/>
    <col width="52" customWidth="1" min="5" max="5"/>
  </cols>
  <sheetData>
    <row r="1">
      <c r="A1" s="1" t="inlineStr">
        <is>
          <t>Sunday School Companion — Content</t>
        </is>
      </c>
      <c r="B1" s="2" t="n"/>
      <c r="C1" s="2" t="n"/>
      <c r="D1" s="2" t="n"/>
      <c r="E1" s="2" t="n"/>
    </row>
    <row r="2">
      <c r="A2" s="3" t="inlineStr"/>
      <c r="B2" s="2" t="n"/>
      <c r="C2" s="2" t="n"/>
      <c r="D2" s="2" t="n"/>
      <c r="E2" s="2" t="n"/>
    </row>
    <row r="3">
      <c r="A3" s="3" t="inlineStr">
        <is>
          <t>This sheet is where lessons begin. You write what a lesson is about; everything a child eventually sees is made from it later.</t>
        </is>
      </c>
      <c r="B3" s="2" t="n"/>
      <c r="C3" s="2" t="n"/>
      <c r="D3" s="2" t="n"/>
      <c r="E3" s="2" t="n"/>
    </row>
    <row r="4">
      <c r="A4" s="3" t="inlineStr"/>
      <c r="B4" s="2" t="n"/>
      <c r="C4" s="2" t="n"/>
      <c r="D4" s="2" t="n"/>
      <c r="E4" s="2" t="n"/>
    </row>
    <row r="5">
      <c r="A5" s="4" t="inlineStr">
        <is>
          <t>To add a lesson:</t>
        </is>
      </c>
      <c r="B5" s="2" t="n"/>
      <c r="C5" s="2" t="n"/>
      <c r="D5" s="2" t="n"/>
      <c r="E5" s="2" t="n"/>
    </row>
    <row r="6">
      <c r="A6" s="3" t="inlineStr">
        <is>
          <t>1.  Open your class tab.</t>
        </is>
      </c>
      <c r="B6" s="2" t="n"/>
      <c r="C6" s="2" t="n"/>
      <c r="D6" s="2" t="n"/>
      <c r="E6" s="2" t="n"/>
    </row>
    <row r="7">
      <c r="A7" s="3" t="inlineStr">
        <is>
          <t>2.  Add a row. Fill in the chapter number, title and Bible reference.</t>
        </is>
      </c>
      <c r="B7" s="2" t="n"/>
      <c r="C7" s="2" t="n"/>
      <c r="D7" s="2" t="n"/>
      <c r="E7" s="2" t="n"/>
    </row>
    <row r="8">
      <c r="A8" s="3" t="inlineStr">
        <is>
          <t>3.  Write the Curriculum — the lesson in your own words. This is the important one. Do not simplify it for children; that happens later.</t>
        </is>
      </c>
      <c r="B8" s="2" t="n"/>
      <c r="C8" s="2" t="n"/>
      <c r="D8" s="2" t="n"/>
      <c r="E8" s="2" t="n"/>
    </row>
    <row r="9">
      <c r="A9" s="3" t="inlineStr">
        <is>
          <t>4.  Go to the Learning Objectives tab and add a row for each thing a child should come away with. One idea per row.</t>
        </is>
      </c>
      <c r="B9" s="2" t="n"/>
      <c r="C9" s="2" t="n"/>
      <c r="D9" s="2" t="n"/>
      <c r="E9" s="2" t="n"/>
    </row>
    <row r="10">
      <c r="A10" s="3" t="inlineStr">
        <is>
          <t>5.  Add the memory verse, a video link and a take-home if the lesson has them. All optional.</t>
        </is>
      </c>
      <c r="B10" s="2" t="n"/>
      <c r="C10" s="2" t="n"/>
      <c r="D10" s="2" t="n"/>
      <c r="E10" s="2" t="n"/>
    </row>
    <row r="11">
      <c r="A11" s="3" t="inlineStr">
        <is>
          <t>6.  Set Status to "Ready for Review". That is all you need to do.</t>
        </is>
      </c>
      <c r="B11" s="2" t="n"/>
      <c r="C11" s="2" t="n"/>
      <c r="D11" s="2" t="n"/>
      <c r="E11" s="2" t="n"/>
    </row>
    <row r="12">
      <c r="A12" s="3" t="inlineStr"/>
      <c r="B12" s="2" t="n"/>
      <c r="C12" s="2" t="n"/>
      <c r="D12" s="2" t="n"/>
      <c r="E12" s="2" t="n"/>
    </row>
    <row r="13">
      <c r="A13" s="5" t="inlineStr">
        <is>
          <t>You never need to write story panels, dialogue, questions or answers. Those are made from what you write here.</t>
        </is>
      </c>
      <c r="B13" s="2" t="n"/>
      <c r="C13" s="2" t="n"/>
      <c r="D13" s="2" t="n"/>
      <c r="E13" s="2" t="n"/>
    </row>
    <row r="14">
      <c r="A14" s="3" t="inlineStr"/>
      <c r="B14" s="2" t="n"/>
      <c r="C14" s="2" t="n"/>
      <c r="D14" s="2" t="n"/>
      <c r="E14" s="2" t="n"/>
    </row>
    <row r="15">
      <c r="A15" s="6" t="inlineStr">
        <is>
          <t>Classes</t>
        </is>
      </c>
      <c r="B15" s="7" t="n"/>
      <c r="C15" s="7" t="n"/>
      <c r="D15" s="7" t="n"/>
      <c r="E15" s="7" t="n"/>
    </row>
    <row r="16">
      <c r="A16" s="8" t="inlineStr">
        <is>
          <t>Class ID</t>
        </is>
      </c>
      <c r="B16" s="8" t="inlineStr">
        <is>
          <t>Tab Name</t>
        </is>
      </c>
      <c r="C16" s="8" t="inlineStr">
        <is>
          <t>Display Name</t>
        </is>
      </c>
      <c r="D16" s="8" t="inlineStr">
        <is>
          <t>Order</t>
        </is>
      </c>
      <c r="E16" s="8" t="inlineStr">
        <is>
          <t>Live</t>
        </is>
      </c>
    </row>
    <row r="17">
      <c r="A17" s="3" t="inlineStr">
        <is>
          <t>6-7</t>
        </is>
      </c>
      <c r="B17" s="3" t="inlineStr">
        <is>
          <t>6–7 Years</t>
        </is>
      </c>
      <c r="C17" s="3" t="inlineStr">
        <is>
          <t>6–7 Years</t>
        </is>
      </c>
      <c r="D17" s="3" t="n">
        <v>1</v>
      </c>
      <c r="E17" s="3" t="inlineStr">
        <is>
          <t>Yes</t>
        </is>
      </c>
    </row>
    <row r="18">
      <c r="A18" s="3" t="inlineStr">
        <is>
          <t>8-10</t>
        </is>
      </c>
      <c r="B18" s="3" t="inlineStr">
        <is>
          <t>8–10 Years</t>
        </is>
      </c>
      <c r="C18" s="3" t="inlineStr">
        <is>
          <t>8–10 Years</t>
        </is>
      </c>
      <c r="D18" s="3" t="n">
        <v>2</v>
      </c>
      <c r="E18" s="3" t="inlineStr">
        <is>
          <t>No</t>
        </is>
      </c>
    </row>
    <row r="19">
      <c r="A19" s="3" t="inlineStr">
        <is>
          <t>11-13</t>
        </is>
      </c>
      <c r="B19" s="3" t="inlineStr">
        <is>
          <t>11–13 Years</t>
        </is>
      </c>
      <c r="C19" s="3" t="inlineStr">
        <is>
          <t>11–13 Years</t>
        </is>
      </c>
      <c r="D19" s="3" t="n">
        <v>3</v>
      </c>
      <c r="E19" s="3" t="inlineStr">
        <is>
          <t>No</t>
        </is>
      </c>
    </row>
    <row r="20">
      <c r="A20" s="3" t="inlineStr">
        <is>
          <t>13-16</t>
        </is>
      </c>
      <c r="B20" s="3" t="inlineStr">
        <is>
          <t>13–16 Years</t>
        </is>
      </c>
      <c r="C20" s="3" t="inlineStr">
        <is>
          <t>13–16 Years</t>
        </is>
      </c>
      <c r="D20" s="3" t="n">
        <v>4</v>
      </c>
      <c r="E20" s="3" t="inlineStr">
        <is>
          <t>No</t>
        </is>
      </c>
    </row>
    <row r="21">
      <c r="A21" s="2" t="n"/>
      <c r="B21" s="2" t="n"/>
      <c r="C21" s="2" t="n"/>
      <c r="D21" s="2" t="n"/>
      <c r="E21" s="2" t="n"/>
    </row>
    <row r="22">
      <c r="A22" s="6" t="inlineStr">
        <is>
          <t>Statuses</t>
        </is>
      </c>
      <c r="B22" s="7" t="n"/>
      <c r="C22" s="2" t="n"/>
      <c r="D22" s="2" t="n"/>
      <c r="E22" s="2" t="n"/>
    </row>
    <row r="23">
      <c r="A23" s="8" t="inlineStr">
        <is>
          <t>Status</t>
        </is>
      </c>
      <c r="B23" s="8" t="inlineStr">
        <is>
          <t>Means</t>
        </is>
      </c>
      <c r="C23" s="2" t="n"/>
      <c r="D23" s="2" t="n"/>
      <c r="E23" s="2" t="n"/>
    </row>
    <row r="24">
      <c r="A24" s="3" t="inlineStr">
        <is>
          <t>Draft</t>
        </is>
      </c>
      <c r="B24" s="3" t="inlineStr">
        <is>
          <t>Being written. Not in the app.</t>
        </is>
      </c>
      <c r="C24" s="2" t="n"/>
      <c r="D24" s="2" t="n"/>
      <c r="E24" s="2" t="n"/>
    </row>
    <row r="25">
      <c r="A25" s="3" t="inlineStr">
        <is>
          <t>Ready for Review</t>
        </is>
      </c>
      <c r="B25" s="3" t="inlineStr">
        <is>
          <t>Finished by the contributor. Not in the app yet.</t>
        </is>
      </c>
      <c r="C25" s="2" t="n"/>
      <c r="D25" s="2" t="n"/>
      <c r="E25" s="2" t="n"/>
    </row>
    <row r="26">
      <c r="A26" s="3" t="inlineStr">
        <is>
          <t>Published</t>
        </is>
      </c>
      <c r="B26" s="3" t="inlineStr">
        <is>
          <t>Reviewed, made and approved. In the app. Set by the production owner only.</t>
        </is>
      </c>
      <c r="C26" s="2" t="n"/>
      <c r="D26" s="2" t="n"/>
      <c r="E26" s="2" t="n"/>
    </row>
    <row r="27">
      <c r="A27" s="2" t="n"/>
      <c r="B27" s="2" t="n"/>
      <c r="C27" s="2" t="n"/>
      <c r="D27" s="2" t="n"/>
      <c r="E27" s="2" t="n"/>
    </row>
    <row r="28">
      <c r="A28" s="6" t="inlineStr">
        <is>
          <t>Objective Priority</t>
        </is>
      </c>
      <c r="B28" s="7" t="n"/>
      <c r="C28" s="2" t="n"/>
      <c r="D28" s="2" t="n"/>
      <c r="E28" s="2" t="n"/>
    </row>
    <row r="29">
      <c r="A29" s="8" t="inlineStr">
        <is>
          <t>Priority</t>
        </is>
      </c>
      <c r="B29" s="8" t="inlineStr">
        <is>
          <t>Means</t>
        </is>
      </c>
      <c r="C29" s="2" t="n"/>
      <c r="D29" s="2" t="n"/>
      <c r="E29" s="2" t="n"/>
    </row>
    <row r="30">
      <c r="A30" s="3" t="inlineStr">
        <is>
          <t>Core</t>
        </is>
      </c>
      <c r="B30" s="3" t="inlineStr">
        <is>
          <t>Must be covered by a game.</t>
        </is>
      </c>
      <c r="C30" s="2" t="n"/>
      <c r="D30" s="2" t="n"/>
      <c r="E30" s="2" t="n"/>
    </row>
    <row r="31">
      <c r="A31" s="3" t="inlineStr">
        <is>
          <t>Supporting</t>
        </is>
      </c>
      <c r="B31" s="3" t="inlineStr">
        <is>
          <t>Welcome, but optional.</t>
        </is>
      </c>
      <c r="C31" s="2" t="n"/>
      <c r="D31" s="2" t="n"/>
      <c r="E31" s="2" t="n"/>
    </row>
    <row r="32">
      <c r="A32" s="2" t="n"/>
      <c r="B32" s="2" t="n"/>
      <c r="C32" s="2" t="n"/>
      <c r="D32" s="2" t="n"/>
      <c r="E32" s="2" t="n"/>
    </row>
    <row r="33">
      <c r="A33" s="6" t="inlineStr">
        <is>
          <t>Game ideas a contributor can suggest</t>
        </is>
      </c>
      <c r="B33" s="7" t="n"/>
      <c r="C33" s="2" t="n"/>
      <c r="D33" s="2" t="n"/>
      <c r="E33" s="2" t="n"/>
    </row>
    <row r="34">
      <c r="A34" s="8" t="inlineStr">
        <is>
          <t>In the sheet</t>
        </is>
      </c>
      <c r="B34" s="8" t="inlineStr">
        <is>
          <t>What we build</t>
        </is>
      </c>
      <c r="C34" s="2" t="n"/>
      <c r="D34" s="2" t="n"/>
      <c r="E34" s="2" t="n"/>
    </row>
    <row r="35">
      <c r="A35" s="3" t="inlineStr">
        <is>
          <t>Pick the right one</t>
        </is>
      </c>
      <c r="B35" s="3" t="inlineStr">
        <is>
          <t>Selection</t>
        </is>
      </c>
      <c r="C35" s="2" t="n"/>
      <c r="D35" s="2" t="n"/>
      <c r="E35" s="2" t="n"/>
    </row>
    <row r="36">
      <c r="A36" s="3" t="inlineStr">
        <is>
          <t>Match things together</t>
        </is>
      </c>
      <c r="B36" s="3" t="inlineStr">
        <is>
          <t>Pairing</t>
        </is>
      </c>
      <c r="C36" s="2" t="n"/>
      <c r="D36" s="2" t="n"/>
      <c r="E36" s="2" t="n"/>
    </row>
    <row r="37">
      <c r="A37" s="3" t="inlineStr">
        <is>
          <t>Put things in order</t>
        </is>
      </c>
      <c r="B37" s="3" t="inlineStr">
        <is>
          <t>Ordering</t>
        </is>
      </c>
      <c r="C37" s="2" t="n"/>
      <c r="D37" s="2" t="n"/>
      <c r="E37" s="2" t="n"/>
    </row>
    <row r="38">
      <c r="A38" s="3" t="inlineStr">
        <is>
          <t>Explore and find</t>
        </is>
      </c>
      <c r="B38" s="3" t="inlineStr">
        <is>
          <t>Discovery</t>
        </is>
      </c>
      <c r="C38" s="2" t="n"/>
      <c r="D38" s="2" t="n"/>
      <c r="E38" s="2" t="n"/>
    </row>
    <row r="39">
      <c r="A39" s="3" t="inlineStr">
        <is>
          <t>(blank)</t>
        </is>
      </c>
      <c r="B39" s="3" t="inlineStr">
        <is>
          <t>We decide</t>
        </is>
      </c>
      <c r="C39" s="2" t="n"/>
      <c r="D39" s="2" t="n"/>
      <c r="E3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18" customWidth="1" min="3" max="3"/>
    <col width="62" customWidth="1" min="4" max="4"/>
    <col width="42" customWidth="1" min="5" max="5"/>
    <col width="38" customWidth="1" min="6" max="6"/>
    <col width="20" customWidth="1" min="7" max="7"/>
    <col width="26" customWidth="1" min="8" max="8"/>
    <col width="38" customWidth="1" min="9" max="9"/>
    <col width="38" customWidth="1" min="10" max="10"/>
    <col width="30" customWidth="1" min="11" max="11"/>
    <col width="18" customWidth="1" min="12" max="12"/>
    <col width="18" customWidth="1" min="13" max="13"/>
    <col width="40" customWidth="1" min="14" max="14"/>
  </cols>
  <sheetData>
    <row r="1" ht="42" customHeight="1">
      <c r="A1" s="9" t="inlineStr">
        <is>
          <t>Chapter</t>
        </is>
      </c>
      <c r="B1" s="9" t="inlineStr">
        <is>
          <t>Title</t>
        </is>
      </c>
      <c r="C1" s="9" t="inlineStr">
        <is>
          <t>Bible Reference</t>
        </is>
      </c>
      <c r="D1" s="9" t="inlineStr">
        <is>
          <t>Curriculum</t>
        </is>
      </c>
      <c r="E1" s="9" t="inlineStr">
        <is>
          <t>Learning Objectives</t>
        </is>
      </c>
      <c r="F1" s="9" t="inlineStr">
        <is>
          <t>Memory Verse</t>
        </is>
      </c>
      <c r="G1" s="9" t="inlineStr">
        <is>
          <t>Memory Verse Reference</t>
        </is>
      </c>
      <c r="H1" s="9" t="inlineStr">
        <is>
          <t>Video</t>
        </is>
      </c>
      <c r="I1" s="9" t="inlineStr">
        <is>
          <t>Take Home</t>
        </is>
      </c>
      <c r="J1" s="9" t="inlineStr">
        <is>
          <t>Suggested Story Approach</t>
        </is>
      </c>
      <c r="K1" s="9" t="inlineStr">
        <is>
          <t>Suggested Game Approach</t>
        </is>
      </c>
      <c r="L1" s="9" t="inlineStr">
        <is>
          <t>Contributor</t>
        </is>
      </c>
      <c r="M1" s="9" t="inlineStr">
        <is>
          <t>Status</t>
        </is>
      </c>
      <c r="N1" s="9" t="inlineStr">
        <is>
          <t>Notes</t>
        </is>
      </c>
    </row>
    <row r="2" ht="130" customHeight="1">
      <c r="A2" s="10" t="n">
        <v>1</v>
      </c>
      <c r="B2" s="11" t="inlineStr">
        <is>
          <t>Baby Jesus at the Temple</t>
        </is>
      </c>
      <c r="C2" s="12" t="inlineStr">
        <is>
          <t>Luke 2:22–38</t>
        </is>
      </c>
      <c r="D2" s="11" t="inlineStr"/>
      <c r="E2" s="13">
        <f>IF($A2="","",IFERROR(TEXTJOIN(CHAR(10),TRUE,FILTER('Learning Objectives'!$D$2:$D$500,'Learning Objectives'!$A$2:$A$500="6–7 Years",'Learning Objectives'!$B$2:$B$500=$A2)),""))</f>
        <v/>
      </c>
      <c r="F2" s="11" t="inlineStr">
        <is>
          <t>My eyes have seen your salvation.</t>
        </is>
      </c>
      <c r="G2" s="12" t="inlineStr">
        <is>
          <t>Luke 2:30</t>
        </is>
      </c>
      <c r="H2" s="12" t="inlineStr"/>
      <c r="I2" s="11" t="inlineStr"/>
      <c r="J2" s="11" t="inlineStr"/>
      <c r="K2" s="11" t="inlineStr"/>
      <c r="L2" s="12" t="inlineStr"/>
      <c r="M2" s="12" t="inlineStr">
        <is>
          <t>Draft</t>
        </is>
      </c>
      <c r="N2" s="11" t="inlineStr">
        <is>
          <t>Imported from content/baby-jesus-at-the-temple.story.json. No curriculum was ever written for it — the child-facing text was authored directly. CHECK: the repository says Luke 2:22–38, which includes Anna (vv. 36–38) and the chapter has two Anna panels; the brief said 22–33, which stops at Simeon. Art direction already agreed: cover is Mary holding Jesus with Simeon reaching out, warm temple light. "Simeon held the baby" is the heart of the chapter and gets the most space. It ends on gladness passed on, not on the ceremony finishing.</t>
        </is>
      </c>
    </row>
    <row r="3" ht="130" customHeight="1">
      <c r="A3" s="10" t="n">
        <v>2</v>
      </c>
      <c r="B3" s="11" t="inlineStr">
        <is>
          <t>Stephen</t>
        </is>
      </c>
      <c r="C3" s="12" t="inlineStr">
        <is>
          <t>Acts 6–7</t>
        </is>
      </c>
      <c r="D3" s="11" t="inlineStr"/>
      <c r="E3" s="13">
        <f>IF($A3="","",IFERROR(TEXTJOIN(CHAR(10),TRUE,FILTER('Learning Objectives'!$D$2:$D$500,'Learning Objectives'!$A$2:$A$500="6–7 Years",'Learning Objectives'!$B$2:$B$500=$A3)),""))</f>
        <v/>
      </c>
      <c r="F3" s="11" t="inlineStr">
        <is>
          <t>Be kind to one another, forgiving one another.</t>
        </is>
      </c>
      <c r="G3" s="12" t="inlineStr">
        <is>
          <t>Ephesians 4:32</t>
        </is>
      </c>
      <c r="H3" s="12" t="inlineStr"/>
      <c r="I3" s="11" t="inlineStr"/>
      <c r="J3" s="11" t="inlineStr"/>
      <c r="K3" s="11" t="inlineStr"/>
      <c r="L3" s="12" t="inlineStr"/>
      <c r="M3" s="12" t="inlineStr">
        <is>
          <t>Draft</t>
        </is>
      </c>
      <c r="N3" s="11" t="inlineStr">
        <is>
          <t>Imported from content/stephen.story.json. No curriculum was ever written for it. The memory verse translation is still PLACEHOLDER in the repository and currently raises a build warning — it needs a real translation. Art direction already agreed: we never show the stoning; the turning point is light from above with the crowd out of focus; aftermath, not event; the chapter must not end on grief.</t>
        </is>
      </c>
    </row>
    <row r="4">
      <c r="A4" s="10" t="n"/>
      <c r="B4" s="11" t="n"/>
      <c r="C4" s="12" t="n"/>
      <c r="D4" s="11" t="n"/>
      <c r="E4" s="13">
        <f>IF($A4="","",IFERROR(TEXTJOIN(CHAR(10),TRUE,FILTER('Learning Objectives'!$D$2:$D$500,'Learning Objectives'!$A$2:$A$500="6–7 Years",'Learning Objectives'!$B$2:$B$500=$A4)),""))</f>
        <v/>
      </c>
      <c r="F4" s="11" t="n"/>
      <c r="G4" s="12" t="n"/>
      <c r="H4" s="12" t="n"/>
      <c r="I4" s="11" t="n"/>
      <c r="J4" s="11" t="n"/>
      <c r="K4" s="11" t="n"/>
      <c r="L4" s="12" t="n"/>
      <c r="M4" s="12" t="n"/>
      <c r="N4" s="11" t="n"/>
    </row>
    <row r="5">
      <c r="A5" s="10" t="n"/>
      <c r="B5" s="11" t="n"/>
      <c r="C5" s="12" t="n"/>
      <c r="D5" s="11" t="n"/>
      <c r="E5" s="13">
        <f>IF($A5="","",IFERROR(TEXTJOIN(CHAR(10),TRUE,FILTER('Learning Objectives'!$D$2:$D$500,'Learning Objectives'!$A$2:$A$500="6–7 Years",'Learning Objectives'!$B$2:$B$500=$A5)),""))</f>
        <v/>
      </c>
      <c r="F5" s="11" t="n"/>
      <c r="G5" s="12" t="n"/>
      <c r="H5" s="12" t="n"/>
      <c r="I5" s="11" t="n"/>
      <c r="J5" s="11" t="n"/>
      <c r="K5" s="11" t="n"/>
      <c r="L5" s="12" t="n"/>
      <c r="M5" s="12" t="n"/>
      <c r="N5" s="11" t="n"/>
    </row>
    <row r="6">
      <c r="A6" s="10" t="n"/>
      <c r="B6" s="11" t="n"/>
      <c r="C6" s="12" t="n"/>
      <c r="D6" s="11" t="n"/>
      <c r="E6" s="13">
        <f>IF($A6="","",IFERROR(TEXTJOIN(CHAR(10),TRUE,FILTER('Learning Objectives'!$D$2:$D$500,'Learning Objectives'!$A$2:$A$500="6–7 Years",'Learning Objectives'!$B$2:$B$500=$A6)),""))</f>
        <v/>
      </c>
      <c r="F6" s="11" t="n"/>
      <c r="G6" s="12" t="n"/>
      <c r="H6" s="12" t="n"/>
      <c r="I6" s="11" t="n"/>
      <c r="J6" s="11" t="n"/>
      <c r="K6" s="11" t="n"/>
      <c r="L6" s="12" t="n"/>
      <c r="M6" s="12" t="n"/>
      <c r="N6" s="11" t="n"/>
    </row>
    <row r="7">
      <c r="A7" s="10" t="n"/>
      <c r="B7" s="11" t="n"/>
      <c r="C7" s="12" t="n"/>
      <c r="D7" s="11" t="n"/>
      <c r="E7" s="13">
        <f>IF($A7="","",IFERROR(TEXTJOIN(CHAR(10),TRUE,FILTER('Learning Objectives'!$D$2:$D$500,'Learning Objectives'!$A$2:$A$500="6–7 Years",'Learning Objectives'!$B$2:$B$500=$A7)),""))</f>
        <v/>
      </c>
      <c r="F7" s="11" t="n"/>
      <c r="G7" s="12" t="n"/>
      <c r="H7" s="12" t="n"/>
      <c r="I7" s="11" t="n"/>
      <c r="J7" s="11" t="n"/>
      <c r="K7" s="11" t="n"/>
      <c r="L7" s="12" t="n"/>
      <c r="M7" s="12" t="n"/>
      <c r="N7" s="11" t="n"/>
    </row>
    <row r="8">
      <c r="A8" s="10" t="n"/>
      <c r="B8" s="11" t="n"/>
      <c r="C8" s="12" t="n"/>
      <c r="D8" s="11" t="n"/>
      <c r="E8" s="13">
        <f>IF($A8="","",IFERROR(TEXTJOIN(CHAR(10),TRUE,FILTER('Learning Objectives'!$D$2:$D$500,'Learning Objectives'!$A$2:$A$500="6–7 Years",'Learning Objectives'!$B$2:$B$500=$A8)),""))</f>
        <v/>
      </c>
      <c r="F8" s="11" t="n"/>
      <c r="G8" s="12" t="n"/>
      <c r="H8" s="12" t="n"/>
      <c r="I8" s="11" t="n"/>
      <c r="J8" s="11" t="n"/>
      <c r="K8" s="11" t="n"/>
      <c r="L8" s="12" t="n"/>
      <c r="M8" s="12" t="n"/>
      <c r="N8" s="11" t="n"/>
    </row>
    <row r="9">
      <c r="A9" s="10" t="n"/>
      <c r="B9" s="11" t="n"/>
      <c r="C9" s="12" t="n"/>
      <c r="D9" s="11" t="n"/>
      <c r="E9" s="13">
        <f>IF($A9="","",IFERROR(TEXTJOIN(CHAR(10),TRUE,FILTER('Learning Objectives'!$D$2:$D$500,'Learning Objectives'!$A$2:$A$500="6–7 Years",'Learning Objectives'!$B$2:$B$500=$A9)),""))</f>
        <v/>
      </c>
      <c r="F9" s="11" t="n"/>
      <c r="G9" s="12" t="n"/>
      <c r="H9" s="12" t="n"/>
      <c r="I9" s="11" t="n"/>
      <c r="J9" s="11" t="n"/>
      <c r="K9" s="11" t="n"/>
      <c r="L9" s="12" t="n"/>
      <c r="M9" s="12" t="n"/>
      <c r="N9" s="11" t="n"/>
    </row>
    <row r="10">
      <c r="A10" s="10" t="n"/>
      <c r="B10" s="11" t="n"/>
      <c r="C10" s="12" t="n"/>
      <c r="D10" s="11" t="n"/>
      <c r="E10" s="13">
        <f>IF($A10="","",IFERROR(TEXTJOIN(CHAR(10),TRUE,FILTER('Learning Objectives'!$D$2:$D$500,'Learning Objectives'!$A$2:$A$500="6–7 Years",'Learning Objectives'!$B$2:$B$500=$A10)),""))</f>
        <v/>
      </c>
      <c r="F10" s="11" t="n"/>
      <c r="G10" s="12" t="n"/>
      <c r="H10" s="12" t="n"/>
      <c r="I10" s="11" t="n"/>
      <c r="J10" s="11" t="n"/>
      <c r="K10" s="11" t="n"/>
      <c r="L10" s="12" t="n"/>
      <c r="M10" s="12" t="n"/>
      <c r="N10" s="11" t="n"/>
    </row>
    <row r="11">
      <c r="A11" s="10" t="n"/>
      <c r="B11" s="11" t="n"/>
      <c r="C11" s="12" t="n"/>
      <c r="D11" s="11" t="n"/>
      <c r="E11" s="13">
        <f>IF($A11="","",IFERROR(TEXTJOIN(CHAR(10),TRUE,FILTER('Learning Objectives'!$D$2:$D$500,'Learning Objectives'!$A$2:$A$500="6–7 Years",'Learning Objectives'!$B$2:$B$500=$A11)),""))</f>
        <v/>
      </c>
      <c r="F11" s="11" t="n"/>
      <c r="G11" s="12" t="n"/>
      <c r="H11" s="12" t="n"/>
      <c r="I11" s="11" t="n"/>
      <c r="J11" s="11" t="n"/>
      <c r="K11" s="11" t="n"/>
      <c r="L11" s="12" t="n"/>
      <c r="M11" s="12" t="n"/>
      <c r="N11" s="11" t="n"/>
    </row>
    <row r="12">
      <c r="A12" s="10" t="n"/>
      <c r="B12" s="11" t="n"/>
      <c r="C12" s="12" t="n"/>
      <c r="D12" s="11" t="n"/>
      <c r="E12" s="13">
        <f>IF($A12="","",IFERROR(TEXTJOIN(CHAR(10),TRUE,FILTER('Learning Objectives'!$D$2:$D$500,'Learning Objectives'!$A$2:$A$500="6–7 Years",'Learning Objectives'!$B$2:$B$500=$A12)),""))</f>
        <v/>
      </c>
      <c r="F12" s="11" t="n"/>
      <c r="G12" s="12" t="n"/>
      <c r="H12" s="12" t="n"/>
      <c r="I12" s="11" t="n"/>
      <c r="J12" s="11" t="n"/>
      <c r="K12" s="11" t="n"/>
      <c r="L12" s="12" t="n"/>
      <c r="M12" s="12" t="n"/>
      <c r="N12" s="11" t="n"/>
    </row>
    <row r="13">
      <c r="A13" s="10" t="n"/>
      <c r="B13" s="11" t="n"/>
      <c r="C13" s="12" t="n"/>
      <c r="D13" s="11" t="n"/>
      <c r="E13" s="13">
        <f>IF($A13="","",IFERROR(TEXTJOIN(CHAR(10),TRUE,FILTER('Learning Objectives'!$D$2:$D$500,'Learning Objectives'!$A$2:$A$500="6–7 Years",'Learning Objectives'!$B$2:$B$500=$A13)),""))</f>
        <v/>
      </c>
      <c r="F13" s="11" t="n"/>
      <c r="G13" s="12" t="n"/>
      <c r="H13" s="12" t="n"/>
      <c r="I13" s="11" t="n"/>
      <c r="J13" s="11" t="n"/>
      <c r="K13" s="11" t="n"/>
      <c r="L13" s="12" t="n"/>
      <c r="M13" s="12" t="n"/>
      <c r="N13" s="11" t="n"/>
    </row>
    <row r="14">
      <c r="A14" s="10" t="n"/>
      <c r="B14" s="11" t="n"/>
      <c r="C14" s="12" t="n"/>
      <c r="D14" s="11" t="n"/>
      <c r="E14" s="13">
        <f>IF($A14="","",IFERROR(TEXTJOIN(CHAR(10),TRUE,FILTER('Learning Objectives'!$D$2:$D$500,'Learning Objectives'!$A$2:$A$500="6–7 Years",'Learning Objectives'!$B$2:$B$500=$A14)),""))</f>
        <v/>
      </c>
      <c r="F14" s="11" t="n"/>
      <c r="G14" s="12" t="n"/>
      <c r="H14" s="12" t="n"/>
      <c r="I14" s="11" t="n"/>
      <c r="J14" s="11" t="n"/>
      <c r="K14" s="11" t="n"/>
      <c r="L14" s="12" t="n"/>
      <c r="M14" s="12" t="n"/>
      <c r="N14" s="11" t="n"/>
    </row>
    <row r="15">
      <c r="A15" s="10" t="n"/>
      <c r="B15" s="11" t="n"/>
      <c r="C15" s="12" t="n"/>
      <c r="D15" s="11" t="n"/>
      <c r="E15" s="13">
        <f>IF($A15="","",IFERROR(TEXTJOIN(CHAR(10),TRUE,FILTER('Learning Objectives'!$D$2:$D$500,'Learning Objectives'!$A$2:$A$500="6–7 Years",'Learning Objectives'!$B$2:$B$500=$A15)),""))</f>
        <v/>
      </c>
      <c r="F15" s="11" t="n"/>
      <c r="G15" s="12" t="n"/>
      <c r="H15" s="12" t="n"/>
      <c r="I15" s="11" t="n"/>
      <c r="J15" s="11" t="n"/>
      <c r="K15" s="11" t="n"/>
      <c r="L15" s="12" t="n"/>
      <c r="M15" s="12" t="n"/>
      <c r="N15" s="11" t="n"/>
    </row>
    <row r="16">
      <c r="A16" s="10" t="n"/>
      <c r="B16" s="11" t="n"/>
      <c r="C16" s="12" t="n"/>
      <c r="D16" s="11" t="n"/>
      <c r="E16" s="13">
        <f>IF($A16="","",IFERROR(TEXTJOIN(CHAR(10),TRUE,FILTER('Learning Objectives'!$D$2:$D$500,'Learning Objectives'!$A$2:$A$500="6–7 Years",'Learning Objectives'!$B$2:$B$500=$A16)),""))</f>
        <v/>
      </c>
      <c r="F16" s="11" t="n"/>
      <c r="G16" s="12" t="n"/>
      <c r="H16" s="12" t="n"/>
      <c r="I16" s="11" t="n"/>
      <c r="J16" s="11" t="n"/>
      <c r="K16" s="11" t="n"/>
      <c r="L16" s="12" t="n"/>
      <c r="M16" s="12" t="n"/>
      <c r="N16" s="11" t="n"/>
    </row>
    <row r="17">
      <c r="A17" s="10" t="n"/>
      <c r="B17" s="11" t="n"/>
      <c r="C17" s="12" t="n"/>
      <c r="D17" s="11" t="n"/>
      <c r="E17" s="13">
        <f>IF($A17="","",IFERROR(TEXTJOIN(CHAR(10),TRUE,FILTER('Learning Objectives'!$D$2:$D$500,'Learning Objectives'!$A$2:$A$500="6–7 Years",'Learning Objectives'!$B$2:$B$500=$A17)),""))</f>
        <v/>
      </c>
      <c r="F17" s="11" t="n"/>
      <c r="G17" s="12" t="n"/>
      <c r="H17" s="12" t="n"/>
      <c r="I17" s="11" t="n"/>
      <c r="J17" s="11" t="n"/>
      <c r="K17" s="11" t="n"/>
      <c r="L17" s="12" t="n"/>
      <c r="M17" s="12" t="n"/>
      <c r="N17" s="11" t="n"/>
    </row>
    <row r="18">
      <c r="A18" s="10" t="n"/>
      <c r="B18" s="11" t="n"/>
      <c r="C18" s="12" t="n"/>
      <c r="D18" s="11" t="n"/>
      <c r="E18" s="13">
        <f>IF($A18="","",IFERROR(TEXTJOIN(CHAR(10),TRUE,FILTER('Learning Objectives'!$D$2:$D$500,'Learning Objectives'!$A$2:$A$500="6–7 Years",'Learning Objectives'!$B$2:$B$500=$A18)),""))</f>
        <v/>
      </c>
      <c r="F18" s="11" t="n"/>
      <c r="G18" s="12" t="n"/>
      <c r="H18" s="12" t="n"/>
      <c r="I18" s="11" t="n"/>
      <c r="J18" s="11" t="n"/>
      <c r="K18" s="11" t="n"/>
      <c r="L18" s="12" t="n"/>
      <c r="M18" s="12" t="n"/>
      <c r="N18" s="11" t="n"/>
    </row>
    <row r="19">
      <c r="A19" s="10" t="n"/>
      <c r="B19" s="11" t="n"/>
      <c r="C19" s="12" t="n"/>
      <c r="D19" s="11" t="n"/>
      <c r="E19" s="13">
        <f>IF($A19="","",IFERROR(TEXTJOIN(CHAR(10),TRUE,FILTER('Learning Objectives'!$D$2:$D$500,'Learning Objectives'!$A$2:$A$500="6–7 Years",'Learning Objectives'!$B$2:$B$500=$A19)),""))</f>
        <v/>
      </c>
      <c r="F19" s="11" t="n"/>
      <c r="G19" s="12" t="n"/>
      <c r="H19" s="12" t="n"/>
      <c r="I19" s="11" t="n"/>
      <c r="J19" s="11" t="n"/>
      <c r="K19" s="11" t="n"/>
      <c r="L19" s="12" t="n"/>
      <c r="M19" s="12" t="n"/>
      <c r="N19" s="11" t="n"/>
    </row>
    <row r="20">
      <c r="A20" s="10" t="n"/>
      <c r="B20" s="11" t="n"/>
      <c r="C20" s="12" t="n"/>
      <c r="D20" s="11" t="n"/>
      <c r="E20" s="13">
        <f>IF($A20="","",IFERROR(TEXTJOIN(CHAR(10),TRUE,FILTER('Learning Objectives'!$D$2:$D$500,'Learning Objectives'!$A$2:$A$500="6–7 Years",'Learning Objectives'!$B$2:$B$500=$A20)),""))</f>
        <v/>
      </c>
      <c r="F20" s="11" t="n"/>
      <c r="G20" s="12" t="n"/>
      <c r="H20" s="12" t="n"/>
      <c r="I20" s="11" t="n"/>
      <c r="J20" s="11" t="n"/>
      <c r="K20" s="11" t="n"/>
      <c r="L20" s="12" t="n"/>
      <c r="M20" s="12" t="n"/>
      <c r="N20" s="11" t="n"/>
    </row>
    <row r="21">
      <c r="A21" s="10" t="n"/>
      <c r="B21" s="11" t="n"/>
      <c r="C21" s="12" t="n"/>
      <c r="D21" s="11" t="n"/>
      <c r="E21" s="13">
        <f>IF($A21="","",IFERROR(TEXTJOIN(CHAR(10),TRUE,FILTER('Learning Objectives'!$D$2:$D$500,'Learning Objectives'!$A$2:$A$500="6–7 Years",'Learning Objectives'!$B$2:$B$500=$A21)),""))</f>
        <v/>
      </c>
      <c r="F21" s="11" t="n"/>
      <c r="G21" s="12" t="n"/>
      <c r="H21" s="12" t="n"/>
      <c r="I21" s="11" t="n"/>
      <c r="J21" s="11" t="n"/>
      <c r="K21" s="11" t="n"/>
      <c r="L21" s="12" t="n"/>
      <c r="M21" s="12" t="n"/>
      <c r="N21" s="11" t="n"/>
    </row>
    <row r="22">
      <c r="A22" s="10" t="n"/>
      <c r="B22" s="11" t="n"/>
      <c r="C22" s="12" t="n"/>
      <c r="D22" s="11" t="n"/>
      <c r="E22" s="13">
        <f>IF($A22="","",IFERROR(TEXTJOIN(CHAR(10),TRUE,FILTER('Learning Objectives'!$D$2:$D$500,'Learning Objectives'!$A$2:$A$500="6–7 Years",'Learning Objectives'!$B$2:$B$500=$A22)),""))</f>
        <v/>
      </c>
      <c r="F22" s="11" t="n"/>
      <c r="G22" s="12" t="n"/>
      <c r="H22" s="12" t="n"/>
      <c r="I22" s="11" t="n"/>
      <c r="J22" s="11" t="n"/>
      <c r="K22" s="11" t="n"/>
      <c r="L22" s="12" t="n"/>
      <c r="M22" s="12" t="n"/>
      <c r="N22" s="11" t="n"/>
    </row>
    <row r="23">
      <c r="A23" s="10" t="n"/>
      <c r="B23" s="11" t="n"/>
      <c r="C23" s="12" t="n"/>
      <c r="D23" s="11" t="n"/>
      <c r="E23" s="13">
        <f>IF($A23="","",IFERROR(TEXTJOIN(CHAR(10),TRUE,FILTER('Learning Objectives'!$D$2:$D$500,'Learning Objectives'!$A$2:$A$500="6–7 Years",'Learning Objectives'!$B$2:$B$500=$A23)),""))</f>
        <v/>
      </c>
      <c r="F23" s="11" t="n"/>
      <c r="G23" s="12" t="n"/>
      <c r="H23" s="12" t="n"/>
      <c r="I23" s="11" t="n"/>
      <c r="J23" s="11" t="n"/>
      <c r="K23" s="11" t="n"/>
      <c r="L23" s="12" t="n"/>
      <c r="M23" s="12" t="n"/>
      <c r="N23" s="11" t="n"/>
    </row>
    <row r="24">
      <c r="A24" s="10" t="n"/>
      <c r="B24" s="11" t="n"/>
      <c r="C24" s="12" t="n"/>
      <c r="D24" s="11" t="n"/>
      <c r="E24" s="13">
        <f>IF($A24="","",IFERROR(TEXTJOIN(CHAR(10),TRUE,FILTER('Learning Objectives'!$D$2:$D$500,'Learning Objectives'!$A$2:$A$500="6–7 Years",'Learning Objectives'!$B$2:$B$500=$A24)),""))</f>
        <v/>
      </c>
      <c r="F24" s="11" t="n"/>
      <c r="G24" s="12" t="n"/>
      <c r="H24" s="12" t="n"/>
      <c r="I24" s="11" t="n"/>
      <c r="J24" s="11" t="n"/>
      <c r="K24" s="11" t="n"/>
      <c r="L24" s="12" t="n"/>
      <c r="M24" s="12" t="n"/>
      <c r="N24" s="11" t="n"/>
    </row>
    <row r="25">
      <c r="A25" s="10" t="n"/>
      <c r="B25" s="11" t="n"/>
      <c r="C25" s="12" t="n"/>
      <c r="D25" s="11" t="n"/>
      <c r="E25" s="13">
        <f>IF($A25="","",IFERROR(TEXTJOIN(CHAR(10),TRUE,FILTER('Learning Objectives'!$D$2:$D$500,'Learning Objectives'!$A$2:$A$500="6–7 Years",'Learning Objectives'!$B$2:$B$500=$A25)),""))</f>
        <v/>
      </c>
      <c r="F25" s="11" t="n"/>
      <c r="G25" s="12" t="n"/>
      <c r="H25" s="12" t="n"/>
      <c r="I25" s="11" t="n"/>
      <c r="J25" s="11" t="n"/>
      <c r="K25" s="11" t="n"/>
      <c r="L25" s="12" t="n"/>
      <c r="M25" s="12" t="n"/>
      <c r="N25" s="11" t="n"/>
    </row>
    <row r="26">
      <c r="A26" s="10" t="n"/>
      <c r="B26" s="11" t="n"/>
      <c r="C26" s="12" t="n"/>
      <c r="D26" s="11" t="n"/>
      <c r="E26" s="13">
        <f>IF($A26="","",IFERROR(TEXTJOIN(CHAR(10),TRUE,FILTER('Learning Objectives'!$D$2:$D$500,'Learning Objectives'!$A$2:$A$500="6–7 Years",'Learning Objectives'!$B$2:$B$500=$A26)),""))</f>
        <v/>
      </c>
      <c r="F26" s="11" t="n"/>
      <c r="G26" s="12" t="n"/>
      <c r="H26" s="12" t="n"/>
      <c r="I26" s="11" t="n"/>
      <c r="J26" s="11" t="n"/>
      <c r="K26" s="11" t="n"/>
      <c r="L26" s="12" t="n"/>
      <c r="M26" s="12" t="n"/>
      <c r="N26" s="11" t="n"/>
    </row>
    <row r="27">
      <c r="A27" s="10" t="n"/>
      <c r="B27" s="11" t="n"/>
      <c r="C27" s="12" t="n"/>
      <c r="D27" s="11" t="n"/>
      <c r="E27" s="13">
        <f>IF($A27="","",IFERROR(TEXTJOIN(CHAR(10),TRUE,FILTER('Learning Objectives'!$D$2:$D$500,'Learning Objectives'!$A$2:$A$500="6–7 Years",'Learning Objectives'!$B$2:$B$500=$A27)),""))</f>
        <v/>
      </c>
      <c r="F27" s="11" t="n"/>
      <c r="G27" s="12" t="n"/>
      <c r="H27" s="12" t="n"/>
      <c r="I27" s="11" t="n"/>
      <c r="J27" s="11" t="n"/>
      <c r="K27" s="11" t="n"/>
      <c r="L27" s="12" t="n"/>
      <c r="M27" s="12" t="n"/>
      <c r="N27" s="11" t="n"/>
    </row>
    <row r="28">
      <c r="A28" s="10" t="n"/>
      <c r="B28" s="11" t="n"/>
      <c r="C28" s="12" t="n"/>
      <c r="D28" s="11" t="n"/>
      <c r="E28" s="13">
        <f>IF($A28="","",IFERROR(TEXTJOIN(CHAR(10),TRUE,FILTER('Learning Objectives'!$D$2:$D$500,'Learning Objectives'!$A$2:$A$500="6–7 Years",'Learning Objectives'!$B$2:$B$500=$A28)),""))</f>
        <v/>
      </c>
      <c r="F28" s="11" t="n"/>
      <c r="G28" s="12" t="n"/>
      <c r="H28" s="12" t="n"/>
      <c r="I28" s="11" t="n"/>
      <c r="J28" s="11" t="n"/>
      <c r="K28" s="11" t="n"/>
      <c r="L28" s="12" t="n"/>
      <c r="M28" s="12" t="n"/>
      <c r="N28" s="11" t="n"/>
    </row>
    <row r="29">
      <c r="A29" s="10" t="n"/>
      <c r="B29" s="11" t="n"/>
      <c r="C29" s="12" t="n"/>
      <c r="D29" s="11" t="n"/>
      <c r="E29" s="13">
        <f>IF($A29="","",IFERROR(TEXTJOIN(CHAR(10),TRUE,FILTER('Learning Objectives'!$D$2:$D$500,'Learning Objectives'!$A$2:$A$500="6–7 Years",'Learning Objectives'!$B$2:$B$500=$A29)),""))</f>
        <v/>
      </c>
      <c r="F29" s="11" t="n"/>
      <c r="G29" s="12" t="n"/>
      <c r="H29" s="12" t="n"/>
      <c r="I29" s="11" t="n"/>
      <c r="J29" s="11" t="n"/>
      <c r="K29" s="11" t="n"/>
      <c r="L29" s="12" t="n"/>
      <c r="M29" s="12" t="n"/>
      <c r="N29" s="11" t="n"/>
    </row>
    <row r="30">
      <c r="A30" s="10" t="n"/>
      <c r="B30" s="11" t="n"/>
      <c r="C30" s="12" t="n"/>
      <c r="D30" s="11" t="n"/>
      <c r="E30" s="13">
        <f>IF($A30="","",IFERROR(TEXTJOIN(CHAR(10),TRUE,FILTER('Learning Objectives'!$D$2:$D$500,'Learning Objectives'!$A$2:$A$500="6–7 Years",'Learning Objectives'!$B$2:$B$500=$A30)),""))</f>
        <v/>
      </c>
      <c r="F30" s="11" t="n"/>
      <c r="G30" s="12" t="n"/>
      <c r="H30" s="12" t="n"/>
      <c r="I30" s="11" t="n"/>
      <c r="J30" s="11" t="n"/>
      <c r="K30" s="11" t="n"/>
      <c r="L30" s="12" t="n"/>
      <c r="M30" s="12" t="n"/>
      <c r="N30" s="11" t="n"/>
    </row>
    <row r="31">
      <c r="A31" s="10" t="n"/>
      <c r="B31" s="11" t="n"/>
      <c r="C31" s="12" t="n"/>
      <c r="D31" s="11" t="n"/>
      <c r="E31" s="13">
        <f>IF($A31="","",IFERROR(TEXTJOIN(CHAR(10),TRUE,FILTER('Learning Objectives'!$D$2:$D$500,'Learning Objectives'!$A$2:$A$500="6–7 Years",'Learning Objectives'!$B$2:$B$500=$A31)),""))</f>
        <v/>
      </c>
      <c r="F31" s="11" t="n"/>
      <c r="G31" s="12" t="n"/>
      <c r="H31" s="12" t="n"/>
      <c r="I31" s="11" t="n"/>
      <c r="J31" s="11" t="n"/>
      <c r="K31" s="11" t="n"/>
      <c r="L31" s="12" t="n"/>
      <c r="M31" s="12" t="n"/>
      <c r="N31" s="11" t="n"/>
    </row>
    <row r="32">
      <c r="A32" s="10" t="n"/>
      <c r="B32" s="11" t="n"/>
      <c r="C32" s="12" t="n"/>
      <c r="D32" s="11" t="n"/>
      <c r="E32" s="13">
        <f>IF($A32="","",IFERROR(TEXTJOIN(CHAR(10),TRUE,FILTER('Learning Objectives'!$D$2:$D$500,'Learning Objectives'!$A$2:$A$500="6–7 Years",'Learning Objectives'!$B$2:$B$500=$A32)),""))</f>
        <v/>
      </c>
      <c r="F32" s="11" t="n"/>
      <c r="G32" s="12" t="n"/>
      <c r="H32" s="12" t="n"/>
      <c r="I32" s="11" t="n"/>
      <c r="J32" s="11" t="n"/>
      <c r="K32" s="11" t="n"/>
      <c r="L32" s="12" t="n"/>
      <c r="M32" s="12" t="n"/>
      <c r="N32" s="11" t="n"/>
    </row>
    <row r="33">
      <c r="A33" s="10" t="n"/>
      <c r="B33" s="11" t="n"/>
      <c r="C33" s="12" t="n"/>
      <c r="D33" s="11" t="n"/>
      <c r="E33" s="13">
        <f>IF($A33="","",IFERROR(TEXTJOIN(CHAR(10),TRUE,FILTER('Learning Objectives'!$D$2:$D$500,'Learning Objectives'!$A$2:$A$500="6–7 Years",'Learning Objectives'!$B$2:$B$500=$A33)),""))</f>
        <v/>
      </c>
      <c r="F33" s="11" t="n"/>
      <c r="G33" s="12" t="n"/>
      <c r="H33" s="12" t="n"/>
      <c r="I33" s="11" t="n"/>
      <c r="J33" s="11" t="n"/>
      <c r="K33" s="11" t="n"/>
      <c r="L33" s="12" t="n"/>
      <c r="M33" s="12" t="n"/>
      <c r="N33" s="11" t="n"/>
    </row>
    <row r="34">
      <c r="A34" s="10" t="n"/>
      <c r="B34" s="11" t="n"/>
      <c r="C34" s="12" t="n"/>
      <c r="D34" s="11" t="n"/>
      <c r="E34" s="13">
        <f>IF($A34="","",IFERROR(TEXTJOIN(CHAR(10),TRUE,FILTER('Learning Objectives'!$D$2:$D$500,'Learning Objectives'!$A$2:$A$500="6–7 Years",'Learning Objectives'!$B$2:$B$500=$A34)),""))</f>
        <v/>
      </c>
      <c r="F34" s="11" t="n"/>
      <c r="G34" s="12" t="n"/>
      <c r="H34" s="12" t="n"/>
      <c r="I34" s="11" t="n"/>
      <c r="J34" s="11" t="n"/>
      <c r="K34" s="11" t="n"/>
      <c r="L34" s="12" t="n"/>
      <c r="M34" s="12" t="n"/>
      <c r="N34" s="11" t="n"/>
    </row>
    <row r="35">
      <c r="A35" s="10" t="n"/>
      <c r="B35" s="11" t="n"/>
      <c r="C35" s="12" t="n"/>
      <c r="D35" s="11" t="n"/>
      <c r="E35" s="13">
        <f>IF($A35="","",IFERROR(TEXTJOIN(CHAR(10),TRUE,FILTER('Learning Objectives'!$D$2:$D$500,'Learning Objectives'!$A$2:$A$500="6–7 Years",'Learning Objectives'!$B$2:$B$500=$A35)),""))</f>
        <v/>
      </c>
      <c r="F35" s="11" t="n"/>
      <c r="G35" s="12" t="n"/>
      <c r="H35" s="12" t="n"/>
      <c r="I35" s="11" t="n"/>
      <c r="J35" s="11" t="n"/>
      <c r="K35" s="11" t="n"/>
      <c r="L35" s="12" t="n"/>
      <c r="M35" s="12" t="n"/>
      <c r="N35" s="11" t="n"/>
    </row>
    <row r="36">
      <c r="A36" s="10" t="n"/>
      <c r="B36" s="11" t="n"/>
      <c r="C36" s="12" t="n"/>
      <c r="D36" s="11" t="n"/>
      <c r="E36" s="13">
        <f>IF($A36="","",IFERROR(TEXTJOIN(CHAR(10),TRUE,FILTER('Learning Objectives'!$D$2:$D$500,'Learning Objectives'!$A$2:$A$500="6–7 Years",'Learning Objectives'!$B$2:$B$500=$A36)),""))</f>
        <v/>
      </c>
      <c r="F36" s="11" t="n"/>
      <c r="G36" s="12" t="n"/>
      <c r="H36" s="12" t="n"/>
      <c r="I36" s="11" t="n"/>
      <c r="J36" s="11" t="n"/>
      <c r="K36" s="11" t="n"/>
      <c r="L36" s="12" t="n"/>
      <c r="M36" s="12" t="n"/>
      <c r="N36" s="11" t="n"/>
    </row>
    <row r="37">
      <c r="A37" s="10" t="n"/>
      <c r="B37" s="11" t="n"/>
      <c r="C37" s="12" t="n"/>
      <c r="D37" s="11" t="n"/>
      <c r="E37" s="13">
        <f>IF($A37="","",IFERROR(TEXTJOIN(CHAR(10),TRUE,FILTER('Learning Objectives'!$D$2:$D$500,'Learning Objectives'!$A$2:$A$500="6–7 Years",'Learning Objectives'!$B$2:$B$500=$A37)),""))</f>
        <v/>
      </c>
      <c r="F37" s="11" t="n"/>
      <c r="G37" s="12" t="n"/>
      <c r="H37" s="12" t="n"/>
      <c r="I37" s="11" t="n"/>
      <c r="J37" s="11" t="n"/>
      <c r="K37" s="11" t="n"/>
      <c r="L37" s="12" t="n"/>
      <c r="M37" s="12" t="n"/>
      <c r="N37" s="11" t="n"/>
    </row>
    <row r="38">
      <c r="A38" s="10" t="n"/>
      <c r="B38" s="11" t="n"/>
      <c r="C38" s="12" t="n"/>
      <c r="D38" s="11" t="n"/>
      <c r="E38" s="13">
        <f>IF($A38="","",IFERROR(TEXTJOIN(CHAR(10),TRUE,FILTER('Learning Objectives'!$D$2:$D$500,'Learning Objectives'!$A$2:$A$500="6–7 Years",'Learning Objectives'!$B$2:$B$500=$A38)),""))</f>
        <v/>
      </c>
      <c r="F38" s="11" t="n"/>
      <c r="G38" s="12" t="n"/>
      <c r="H38" s="12" t="n"/>
      <c r="I38" s="11" t="n"/>
      <c r="J38" s="11" t="n"/>
      <c r="K38" s="11" t="n"/>
      <c r="L38" s="12" t="n"/>
      <c r="M38" s="12" t="n"/>
      <c r="N38" s="11" t="n"/>
    </row>
    <row r="39">
      <c r="A39" s="10" t="n"/>
      <c r="B39" s="11" t="n"/>
      <c r="C39" s="12" t="n"/>
      <c r="D39" s="11" t="n"/>
      <c r="E39" s="13">
        <f>IF($A39="","",IFERROR(TEXTJOIN(CHAR(10),TRUE,FILTER('Learning Objectives'!$D$2:$D$500,'Learning Objectives'!$A$2:$A$500="6–7 Years",'Learning Objectives'!$B$2:$B$500=$A39)),""))</f>
        <v/>
      </c>
      <c r="F39" s="11" t="n"/>
      <c r="G39" s="12" t="n"/>
      <c r="H39" s="12" t="n"/>
      <c r="I39" s="11" t="n"/>
      <c r="J39" s="11" t="n"/>
      <c r="K39" s="11" t="n"/>
      <c r="L39" s="12" t="n"/>
      <c r="M39" s="12" t="n"/>
      <c r="N39" s="11" t="n"/>
    </row>
    <row r="40">
      <c r="A40" s="10" t="n"/>
      <c r="B40" s="11" t="n"/>
      <c r="C40" s="12" t="n"/>
      <c r="D40" s="11" t="n"/>
      <c r="E40" s="13">
        <f>IF($A40="","",IFERROR(TEXTJOIN(CHAR(10),TRUE,FILTER('Learning Objectives'!$D$2:$D$500,'Learning Objectives'!$A$2:$A$500="6–7 Years",'Learning Objectives'!$B$2:$B$500=$A40)),""))</f>
        <v/>
      </c>
      <c r="F40" s="11" t="n"/>
      <c r="G40" s="12" t="n"/>
      <c r="H40" s="12" t="n"/>
      <c r="I40" s="11" t="n"/>
      <c r="J40" s="11" t="n"/>
      <c r="K40" s="11" t="n"/>
      <c r="L40" s="12" t="n"/>
      <c r="M40" s="12" t="n"/>
      <c r="N40" s="11" t="n"/>
    </row>
    <row r="41">
      <c r="A41" s="10" t="n"/>
      <c r="B41" s="11" t="n"/>
      <c r="C41" s="12" t="n"/>
      <c r="D41" s="11" t="n"/>
      <c r="E41" s="13">
        <f>IF($A41="","",IFERROR(TEXTJOIN(CHAR(10),TRUE,FILTER('Learning Objectives'!$D$2:$D$500,'Learning Objectives'!$A$2:$A$500="6–7 Years",'Learning Objectives'!$B$2:$B$500=$A41)),""))</f>
        <v/>
      </c>
      <c r="F41" s="11" t="n"/>
      <c r="G41" s="12" t="n"/>
      <c r="H41" s="12" t="n"/>
      <c r="I41" s="11" t="n"/>
      <c r="J41" s="11" t="n"/>
      <c r="K41" s="11" t="n"/>
      <c r="L41" s="12" t="n"/>
      <c r="M41" s="12" t="n"/>
      <c r="N41" s="11" t="n"/>
    </row>
    <row r="42">
      <c r="A42" s="10" t="n"/>
      <c r="B42" s="11" t="n"/>
      <c r="C42" s="12" t="n"/>
      <c r="D42" s="11" t="n"/>
      <c r="E42" s="13">
        <f>IF($A42="","",IFERROR(TEXTJOIN(CHAR(10),TRUE,FILTER('Learning Objectives'!$D$2:$D$500,'Learning Objectives'!$A$2:$A$500="6–7 Years",'Learning Objectives'!$B$2:$B$500=$A42)),""))</f>
        <v/>
      </c>
      <c r="F42" s="11" t="n"/>
      <c r="G42" s="12" t="n"/>
      <c r="H42" s="12" t="n"/>
      <c r="I42" s="11" t="n"/>
      <c r="J42" s="11" t="n"/>
      <c r="K42" s="11" t="n"/>
      <c r="L42" s="12" t="n"/>
      <c r="M42" s="12" t="n"/>
      <c r="N42" s="11" t="n"/>
    </row>
    <row r="43">
      <c r="A43" s="10" t="n"/>
      <c r="B43" s="11" t="n"/>
      <c r="C43" s="12" t="n"/>
      <c r="D43" s="11" t="n"/>
      <c r="E43" s="13">
        <f>IF($A43="","",IFERROR(TEXTJOIN(CHAR(10),TRUE,FILTER('Learning Objectives'!$D$2:$D$500,'Learning Objectives'!$A$2:$A$500="6–7 Years",'Learning Objectives'!$B$2:$B$500=$A43)),""))</f>
        <v/>
      </c>
      <c r="F43" s="11" t="n"/>
      <c r="G43" s="12" t="n"/>
      <c r="H43" s="12" t="n"/>
      <c r="I43" s="11" t="n"/>
      <c r="J43" s="11" t="n"/>
      <c r="K43" s="11" t="n"/>
      <c r="L43" s="12" t="n"/>
      <c r="M43" s="12" t="n"/>
      <c r="N43" s="11" t="n"/>
    </row>
    <row r="44">
      <c r="A44" s="10" t="n"/>
      <c r="B44" s="11" t="n"/>
      <c r="C44" s="12" t="n"/>
      <c r="D44" s="11" t="n"/>
      <c r="E44" s="13">
        <f>IF($A44="","",IFERROR(TEXTJOIN(CHAR(10),TRUE,FILTER('Learning Objectives'!$D$2:$D$500,'Learning Objectives'!$A$2:$A$500="6–7 Years",'Learning Objectives'!$B$2:$B$500=$A44)),""))</f>
        <v/>
      </c>
      <c r="F44" s="11" t="n"/>
      <c r="G44" s="12" t="n"/>
      <c r="H44" s="12" t="n"/>
      <c r="I44" s="11" t="n"/>
      <c r="J44" s="11" t="n"/>
      <c r="K44" s="11" t="n"/>
      <c r="L44" s="12" t="n"/>
      <c r="M44" s="12" t="n"/>
      <c r="N44" s="11" t="n"/>
    </row>
    <row r="45">
      <c r="A45" s="10" t="n"/>
      <c r="B45" s="11" t="n"/>
      <c r="C45" s="12" t="n"/>
      <c r="D45" s="11" t="n"/>
      <c r="E45" s="13">
        <f>IF($A45="","",IFERROR(TEXTJOIN(CHAR(10),TRUE,FILTER('Learning Objectives'!$D$2:$D$500,'Learning Objectives'!$A$2:$A$500="6–7 Years",'Learning Objectives'!$B$2:$B$500=$A45)),""))</f>
        <v/>
      </c>
      <c r="F45" s="11" t="n"/>
      <c r="G45" s="12" t="n"/>
      <c r="H45" s="12" t="n"/>
      <c r="I45" s="11" t="n"/>
      <c r="J45" s="11" t="n"/>
      <c r="K45" s="11" t="n"/>
      <c r="L45" s="12" t="n"/>
      <c r="M45" s="12" t="n"/>
      <c r="N45" s="11" t="n"/>
    </row>
    <row r="46">
      <c r="A46" s="10" t="n"/>
      <c r="B46" s="11" t="n"/>
      <c r="C46" s="12" t="n"/>
      <c r="D46" s="11" t="n"/>
      <c r="E46" s="13">
        <f>IF($A46="","",IFERROR(TEXTJOIN(CHAR(10),TRUE,FILTER('Learning Objectives'!$D$2:$D$500,'Learning Objectives'!$A$2:$A$500="6–7 Years",'Learning Objectives'!$B$2:$B$500=$A46)),""))</f>
        <v/>
      </c>
      <c r="F46" s="11" t="n"/>
      <c r="G46" s="12" t="n"/>
      <c r="H46" s="12" t="n"/>
      <c r="I46" s="11" t="n"/>
      <c r="J46" s="11" t="n"/>
      <c r="K46" s="11" t="n"/>
      <c r="L46" s="12" t="n"/>
      <c r="M46" s="12" t="n"/>
      <c r="N46" s="11" t="n"/>
    </row>
    <row r="47">
      <c r="A47" s="10" t="n"/>
      <c r="B47" s="11" t="n"/>
      <c r="C47" s="12" t="n"/>
      <c r="D47" s="11" t="n"/>
      <c r="E47" s="13">
        <f>IF($A47="","",IFERROR(TEXTJOIN(CHAR(10),TRUE,FILTER('Learning Objectives'!$D$2:$D$500,'Learning Objectives'!$A$2:$A$500="6–7 Years",'Learning Objectives'!$B$2:$B$500=$A47)),""))</f>
        <v/>
      </c>
      <c r="F47" s="11" t="n"/>
      <c r="G47" s="12" t="n"/>
      <c r="H47" s="12" t="n"/>
      <c r="I47" s="11" t="n"/>
      <c r="J47" s="11" t="n"/>
      <c r="K47" s="11" t="n"/>
      <c r="L47" s="12" t="n"/>
      <c r="M47" s="12" t="n"/>
      <c r="N47" s="11" t="n"/>
    </row>
    <row r="48">
      <c r="A48" s="10" t="n"/>
      <c r="B48" s="11" t="n"/>
      <c r="C48" s="12" t="n"/>
      <c r="D48" s="11" t="n"/>
      <c r="E48" s="13">
        <f>IF($A48="","",IFERROR(TEXTJOIN(CHAR(10),TRUE,FILTER('Learning Objectives'!$D$2:$D$500,'Learning Objectives'!$A$2:$A$500="6–7 Years",'Learning Objectives'!$B$2:$B$500=$A48)),""))</f>
        <v/>
      </c>
      <c r="F48" s="11" t="n"/>
      <c r="G48" s="12" t="n"/>
      <c r="H48" s="12" t="n"/>
      <c r="I48" s="11" t="n"/>
      <c r="J48" s="11" t="n"/>
      <c r="K48" s="11" t="n"/>
      <c r="L48" s="12" t="n"/>
      <c r="M48" s="12" t="n"/>
      <c r="N48" s="11" t="n"/>
    </row>
    <row r="49">
      <c r="A49" s="10" t="n"/>
      <c r="B49" s="11" t="n"/>
      <c r="C49" s="12" t="n"/>
      <c r="D49" s="11" t="n"/>
      <c r="E49" s="13">
        <f>IF($A49="","",IFERROR(TEXTJOIN(CHAR(10),TRUE,FILTER('Learning Objectives'!$D$2:$D$500,'Learning Objectives'!$A$2:$A$500="6–7 Years",'Learning Objectives'!$B$2:$B$500=$A49)),""))</f>
        <v/>
      </c>
      <c r="F49" s="11" t="n"/>
      <c r="G49" s="12" t="n"/>
      <c r="H49" s="12" t="n"/>
      <c r="I49" s="11" t="n"/>
      <c r="J49" s="11" t="n"/>
      <c r="K49" s="11" t="n"/>
      <c r="L49" s="12" t="n"/>
      <c r="M49" s="12" t="n"/>
      <c r="N49" s="11" t="n"/>
    </row>
    <row r="50">
      <c r="A50" s="10" t="n"/>
      <c r="B50" s="11" t="n"/>
      <c r="C50" s="12" t="n"/>
      <c r="D50" s="11" t="n"/>
      <c r="E50" s="13">
        <f>IF($A50="","",IFERROR(TEXTJOIN(CHAR(10),TRUE,FILTER('Learning Objectives'!$D$2:$D$500,'Learning Objectives'!$A$2:$A$500="6–7 Years",'Learning Objectives'!$B$2:$B$500=$A50)),""))</f>
        <v/>
      </c>
      <c r="F50" s="11" t="n"/>
      <c r="G50" s="12" t="n"/>
      <c r="H50" s="12" t="n"/>
      <c r="I50" s="11" t="n"/>
      <c r="J50" s="11" t="n"/>
      <c r="K50" s="11" t="n"/>
      <c r="L50" s="12" t="n"/>
      <c r="M50" s="12" t="n"/>
      <c r="N50" s="11" t="n"/>
    </row>
    <row r="51">
      <c r="A51" s="10" t="n"/>
      <c r="B51" s="11" t="n"/>
      <c r="C51" s="12" t="n"/>
      <c r="D51" s="11" t="n"/>
      <c r="E51" s="13">
        <f>IF($A51="","",IFERROR(TEXTJOIN(CHAR(10),TRUE,FILTER('Learning Objectives'!$D$2:$D$500,'Learning Objectives'!$A$2:$A$500="6–7 Years",'Learning Objectives'!$B$2:$B$500=$A51)),""))</f>
        <v/>
      </c>
      <c r="F51" s="11" t="n"/>
      <c r="G51" s="12" t="n"/>
      <c r="H51" s="12" t="n"/>
      <c r="I51" s="11" t="n"/>
      <c r="J51" s="11" t="n"/>
      <c r="K51" s="11" t="n"/>
      <c r="L51" s="12" t="n"/>
      <c r="M51" s="12" t="n"/>
      <c r="N51" s="11" t="n"/>
    </row>
    <row r="52">
      <c r="A52" s="10" t="n"/>
      <c r="B52" s="11" t="n"/>
      <c r="C52" s="12" t="n"/>
      <c r="D52" s="11" t="n"/>
      <c r="E52" s="13">
        <f>IF($A52="","",IFERROR(TEXTJOIN(CHAR(10),TRUE,FILTER('Learning Objectives'!$D$2:$D$500,'Learning Objectives'!$A$2:$A$500="6–7 Years",'Learning Objectives'!$B$2:$B$500=$A52)),""))</f>
        <v/>
      </c>
      <c r="F52" s="11" t="n"/>
      <c r="G52" s="12" t="n"/>
      <c r="H52" s="12" t="n"/>
      <c r="I52" s="11" t="n"/>
      <c r="J52" s="11" t="n"/>
      <c r="K52" s="11" t="n"/>
      <c r="L52" s="12" t="n"/>
      <c r="M52" s="12" t="n"/>
      <c r="N52" s="11" t="n"/>
    </row>
    <row r="53">
      <c r="A53" s="10" t="n"/>
      <c r="B53" s="11" t="n"/>
      <c r="C53" s="12" t="n"/>
      <c r="D53" s="11" t="n"/>
      <c r="E53" s="13">
        <f>IF($A53="","",IFERROR(TEXTJOIN(CHAR(10),TRUE,FILTER('Learning Objectives'!$D$2:$D$500,'Learning Objectives'!$A$2:$A$500="6–7 Years",'Learning Objectives'!$B$2:$B$500=$A53)),""))</f>
        <v/>
      </c>
      <c r="F53" s="11" t="n"/>
      <c r="G53" s="12" t="n"/>
      <c r="H53" s="12" t="n"/>
      <c r="I53" s="11" t="n"/>
      <c r="J53" s="11" t="n"/>
      <c r="K53" s="11" t="n"/>
      <c r="L53" s="12" t="n"/>
      <c r="M53" s="12" t="n"/>
      <c r="N53" s="11" t="n"/>
    </row>
    <row r="54">
      <c r="A54" s="10" t="n"/>
      <c r="B54" s="11" t="n"/>
      <c r="C54" s="12" t="n"/>
      <c r="D54" s="11" t="n"/>
      <c r="E54" s="13">
        <f>IF($A54="","",IFERROR(TEXTJOIN(CHAR(10),TRUE,FILTER('Learning Objectives'!$D$2:$D$500,'Learning Objectives'!$A$2:$A$500="6–7 Years",'Learning Objectives'!$B$2:$B$500=$A54)),""))</f>
        <v/>
      </c>
      <c r="F54" s="11" t="n"/>
      <c r="G54" s="12" t="n"/>
      <c r="H54" s="12" t="n"/>
      <c r="I54" s="11" t="n"/>
      <c r="J54" s="11" t="n"/>
      <c r="K54" s="11" t="n"/>
      <c r="L54" s="12" t="n"/>
      <c r="M54" s="12" t="n"/>
      <c r="N54" s="11" t="n"/>
    </row>
    <row r="55">
      <c r="A55" s="10" t="n"/>
      <c r="B55" s="11" t="n"/>
      <c r="C55" s="12" t="n"/>
      <c r="D55" s="11" t="n"/>
      <c r="E55" s="13">
        <f>IF($A55="","",IFERROR(TEXTJOIN(CHAR(10),TRUE,FILTER('Learning Objectives'!$D$2:$D$500,'Learning Objectives'!$A$2:$A$500="6–7 Years",'Learning Objectives'!$B$2:$B$500=$A55)),""))</f>
        <v/>
      </c>
      <c r="F55" s="11" t="n"/>
      <c r="G55" s="12" t="n"/>
      <c r="H55" s="12" t="n"/>
      <c r="I55" s="11" t="n"/>
      <c r="J55" s="11" t="n"/>
      <c r="K55" s="11" t="n"/>
      <c r="L55" s="12" t="n"/>
      <c r="M55" s="12" t="n"/>
      <c r="N55" s="11" t="n"/>
    </row>
    <row r="56">
      <c r="A56" s="10" t="n"/>
      <c r="B56" s="11" t="n"/>
      <c r="C56" s="12" t="n"/>
      <c r="D56" s="11" t="n"/>
      <c r="E56" s="13">
        <f>IF($A56="","",IFERROR(TEXTJOIN(CHAR(10),TRUE,FILTER('Learning Objectives'!$D$2:$D$500,'Learning Objectives'!$A$2:$A$500="6–7 Years",'Learning Objectives'!$B$2:$B$500=$A56)),""))</f>
        <v/>
      </c>
      <c r="F56" s="11" t="n"/>
      <c r="G56" s="12" t="n"/>
      <c r="H56" s="12" t="n"/>
      <c r="I56" s="11" t="n"/>
      <c r="J56" s="11" t="n"/>
      <c r="K56" s="11" t="n"/>
      <c r="L56" s="12" t="n"/>
      <c r="M56" s="12" t="n"/>
      <c r="N56" s="11" t="n"/>
    </row>
    <row r="57">
      <c r="A57" s="10" t="n"/>
      <c r="B57" s="11" t="n"/>
      <c r="C57" s="12" t="n"/>
      <c r="D57" s="11" t="n"/>
      <c r="E57" s="13">
        <f>IF($A57="","",IFERROR(TEXTJOIN(CHAR(10),TRUE,FILTER('Learning Objectives'!$D$2:$D$500,'Learning Objectives'!$A$2:$A$500="6–7 Years",'Learning Objectives'!$B$2:$B$500=$A57)),""))</f>
        <v/>
      </c>
      <c r="F57" s="11" t="n"/>
      <c r="G57" s="12" t="n"/>
      <c r="H57" s="12" t="n"/>
      <c r="I57" s="11" t="n"/>
      <c r="J57" s="11" t="n"/>
      <c r="K57" s="11" t="n"/>
      <c r="L57" s="12" t="n"/>
      <c r="M57" s="12" t="n"/>
      <c r="N57" s="11" t="n"/>
    </row>
    <row r="58">
      <c r="A58" s="10" t="n"/>
      <c r="B58" s="11" t="n"/>
      <c r="C58" s="12" t="n"/>
      <c r="D58" s="11" t="n"/>
      <c r="E58" s="13">
        <f>IF($A58="","",IFERROR(TEXTJOIN(CHAR(10),TRUE,FILTER('Learning Objectives'!$D$2:$D$500,'Learning Objectives'!$A$2:$A$500="6–7 Years",'Learning Objectives'!$B$2:$B$500=$A58)),""))</f>
        <v/>
      </c>
      <c r="F58" s="11" t="n"/>
      <c r="G58" s="12" t="n"/>
      <c r="H58" s="12" t="n"/>
      <c r="I58" s="11" t="n"/>
      <c r="J58" s="11" t="n"/>
      <c r="K58" s="11" t="n"/>
      <c r="L58" s="12" t="n"/>
      <c r="M58" s="12" t="n"/>
      <c r="N58" s="11" t="n"/>
    </row>
    <row r="59">
      <c r="A59" s="10" t="n"/>
      <c r="B59" s="11" t="n"/>
      <c r="C59" s="12" t="n"/>
      <c r="D59" s="11" t="n"/>
      <c r="E59" s="13">
        <f>IF($A59="","",IFERROR(TEXTJOIN(CHAR(10),TRUE,FILTER('Learning Objectives'!$D$2:$D$500,'Learning Objectives'!$A$2:$A$500="6–7 Years",'Learning Objectives'!$B$2:$B$500=$A59)),""))</f>
        <v/>
      </c>
      <c r="F59" s="11" t="n"/>
      <c r="G59" s="12" t="n"/>
      <c r="H59" s="12" t="n"/>
      <c r="I59" s="11" t="n"/>
      <c r="J59" s="11" t="n"/>
      <c r="K59" s="11" t="n"/>
      <c r="L59" s="12" t="n"/>
      <c r="M59" s="12" t="n"/>
      <c r="N59" s="11" t="n"/>
    </row>
    <row r="60">
      <c r="A60" s="10" t="n"/>
      <c r="B60" s="11" t="n"/>
      <c r="C60" s="12" t="n"/>
      <c r="D60" s="11" t="n"/>
      <c r="E60" s="13">
        <f>IF($A60="","",IFERROR(TEXTJOIN(CHAR(10),TRUE,FILTER('Learning Objectives'!$D$2:$D$500,'Learning Objectives'!$A$2:$A$500="6–7 Years",'Learning Objectives'!$B$2:$B$500=$A60)),""))</f>
        <v/>
      </c>
      <c r="F60" s="11" t="n"/>
      <c r="G60" s="12" t="n"/>
      <c r="H60" s="12" t="n"/>
      <c r="I60" s="11" t="n"/>
      <c r="J60" s="11" t="n"/>
      <c r="K60" s="11" t="n"/>
      <c r="L60" s="12" t="n"/>
      <c r="M60" s="12" t="n"/>
      <c r="N60" s="11" t="n"/>
    </row>
    <row r="61">
      <c r="A61" s="10" t="n"/>
      <c r="B61" s="11" t="n"/>
      <c r="C61" s="12" t="n"/>
      <c r="D61" s="11" t="n"/>
      <c r="E61" s="13">
        <f>IF($A61="","",IFERROR(TEXTJOIN(CHAR(10),TRUE,FILTER('Learning Objectives'!$D$2:$D$500,'Learning Objectives'!$A$2:$A$500="6–7 Years",'Learning Objectives'!$B$2:$B$500=$A61)),""))</f>
        <v/>
      </c>
      <c r="F61" s="11" t="n"/>
      <c r="G61" s="12" t="n"/>
      <c r="H61" s="12" t="n"/>
      <c r="I61" s="11" t="n"/>
      <c r="J61" s="11" t="n"/>
      <c r="K61" s="11" t="n"/>
      <c r="L61" s="12" t="n"/>
      <c r="M61" s="12" t="n"/>
      <c r="N61" s="11" t="n"/>
    </row>
    <row r="62">
      <c r="A62" s="10" t="n"/>
      <c r="B62" s="11" t="n"/>
      <c r="C62" s="12" t="n"/>
      <c r="D62" s="11" t="n"/>
      <c r="E62" s="13">
        <f>IF($A62="","",IFERROR(TEXTJOIN(CHAR(10),TRUE,FILTER('Learning Objectives'!$D$2:$D$500,'Learning Objectives'!$A$2:$A$500="6–7 Years",'Learning Objectives'!$B$2:$B$500=$A62)),""))</f>
        <v/>
      </c>
      <c r="F62" s="11" t="n"/>
      <c r="G62" s="12" t="n"/>
      <c r="H62" s="12" t="n"/>
      <c r="I62" s="11" t="n"/>
      <c r="J62" s="11" t="n"/>
      <c r="K62" s="11" t="n"/>
      <c r="L62" s="12" t="n"/>
      <c r="M62" s="12" t="n"/>
      <c r="N62" s="11" t="n"/>
    </row>
    <row r="63">
      <c r="A63" s="10" t="n"/>
      <c r="B63" s="11" t="n"/>
      <c r="C63" s="12" t="n"/>
      <c r="D63" s="11" t="n"/>
      <c r="E63" s="13">
        <f>IF($A63="","",IFERROR(TEXTJOIN(CHAR(10),TRUE,FILTER('Learning Objectives'!$D$2:$D$500,'Learning Objectives'!$A$2:$A$500="6–7 Years",'Learning Objectives'!$B$2:$B$500=$A63)),""))</f>
        <v/>
      </c>
      <c r="F63" s="11" t="n"/>
      <c r="G63" s="12" t="n"/>
      <c r="H63" s="12" t="n"/>
      <c r="I63" s="11" t="n"/>
      <c r="J63" s="11" t="n"/>
      <c r="K63" s="11" t="n"/>
      <c r="L63" s="12" t="n"/>
      <c r="M63" s="12" t="n"/>
      <c r="N63" s="11" t="n"/>
    </row>
    <row r="64">
      <c r="A64" s="10" t="n"/>
      <c r="B64" s="11" t="n"/>
      <c r="C64" s="12" t="n"/>
      <c r="D64" s="11" t="n"/>
      <c r="E64" s="13">
        <f>IF($A64="","",IFERROR(TEXTJOIN(CHAR(10),TRUE,FILTER('Learning Objectives'!$D$2:$D$500,'Learning Objectives'!$A$2:$A$500="6–7 Years",'Learning Objectives'!$B$2:$B$500=$A64)),""))</f>
        <v/>
      </c>
      <c r="F64" s="11" t="n"/>
      <c r="G64" s="12" t="n"/>
      <c r="H64" s="12" t="n"/>
      <c r="I64" s="11" t="n"/>
      <c r="J64" s="11" t="n"/>
      <c r="K64" s="11" t="n"/>
      <c r="L64" s="12" t="n"/>
      <c r="M64" s="12" t="n"/>
      <c r="N64" s="11" t="n"/>
    </row>
    <row r="65">
      <c r="A65" s="10" t="n"/>
      <c r="B65" s="11" t="n"/>
      <c r="C65" s="12" t="n"/>
      <c r="D65" s="11" t="n"/>
      <c r="E65" s="13">
        <f>IF($A65="","",IFERROR(TEXTJOIN(CHAR(10),TRUE,FILTER('Learning Objectives'!$D$2:$D$500,'Learning Objectives'!$A$2:$A$500="6–7 Years",'Learning Objectives'!$B$2:$B$500=$A65)),""))</f>
        <v/>
      </c>
      <c r="F65" s="11" t="n"/>
      <c r="G65" s="12" t="n"/>
      <c r="H65" s="12" t="n"/>
      <c r="I65" s="11" t="n"/>
      <c r="J65" s="11" t="n"/>
      <c r="K65" s="11" t="n"/>
      <c r="L65" s="12" t="n"/>
      <c r="M65" s="12" t="n"/>
      <c r="N65" s="11" t="n"/>
    </row>
    <row r="66">
      <c r="A66" s="10" t="n"/>
      <c r="B66" s="11" t="n"/>
      <c r="C66" s="12" t="n"/>
      <c r="D66" s="11" t="n"/>
      <c r="E66" s="13">
        <f>IF($A66="","",IFERROR(TEXTJOIN(CHAR(10),TRUE,FILTER('Learning Objectives'!$D$2:$D$500,'Learning Objectives'!$A$2:$A$500="6–7 Years",'Learning Objectives'!$B$2:$B$500=$A66)),""))</f>
        <v/>
      </c>
      <c r="F66" s="11" t="n"/>
      <c r="G66" s="12" t="n"/>
      <c r="H66" s="12" t="n"/>
      <c r="I66" s="11" t="n"/>
      <c r="J66" s="11" t="n"/>
      <c r="K66" s="11" t="n"/>
      <c r="L66" s="12" t="n"/>
      <c r="M66" s="12" t="n"/>
      <c r="N66" s="11" t="n"/>
    </row>
    <row r="67">
      <c r="A67" s="10" t="n"/>
      <c r="B67" s="11" t="n"/>
      <c r="C67" s="12" t="n"/>
      <c r="D67" s="11" t="n"/>
      <c r="E67" s="13">
        <f>IF($A67="","",IFERROR(TEXTJOIN(CHAR(10),TRUE,FILTER('Learning Objectives'!$D$2:$D$500,'Learning Objectives'!$A$2:$A$500="6–7 Years",'Learning Objectives'!$B$2:$B$500=$A67)),""))</f>
        <v/>
      </c>
      <c r="F67" s="11" t="n"/>
      <c r="G67" s="12" t="n"/>
      <c r="H67" s="12" t="n"/>
      <c r="I67" s="11" t="n"/>
      <c r="J67" s="11" t="n"/>
      <c r="K67" s="11" t="n"/>
      <c r="L67" s="12" t="n"/>
      <c r="M67" s="12" t="n"/>
      <c r="N67" s="11" t="n"/>
    </row>
    <row r="68">
      <c r="A68" s="10" t="n"/>
      <c r="B68" s="11" t="n"/>
      <c r="C68" s="12" t="n"/>
      <c r="D68" s="11" t="n"/>
      <c r="E68" s="13">
        <f>IF($A68="","",IFERROR(TEXTJOIN(CHAR(10),TRUE,FILTER('Learning Objectives'!$D$2:$D$500,'Learning Objectives'!$A$2:$A$500="6–7 Years",'Learning Objectives'!$B$2:$B$500=$A68)),""))</f>
        <v/>
      </c>
      <c r="F68" s="11" t="n"/>
      <c r="G68" s="12" t="n"/>
      <c r="H68" s="12" t="n"/>
      <c r="I68" s="11" t="n"/>
      <c r="J68" s="11" t="n"/>
      <c r="K68" s="11" t="n"/>
      <c r="L68" s="12" t="n"/>
      <c r="M68" s="12" t="n"/>
      <c r="N68" s="11" t="n"/>
    </row>
    <row r="69">
      <c r="A69" s="10" t="n"/>
      <c r="B69" s="11" t="n"/>
      <c r="C69" s="12" t="n"/>
      <c r="D69" s="11" t="n"/>
      <c r="E69" s="13">
        <f>IF($A69="","",IFERROR(TEXTJOIN(CHAR(10),TRUE,FILTER('Learning Objectives'!$D$2:$D$500,'Learning Objectives'!$A$2:$A$500="6–7 Years",'Learning Objectives'!$B$2:$B$500=$A69)),""))</f>
        <v/>
      </c>
      <c r="F69" s="11" t="n"/>
      <c r="G69" s="12" t="n"/>
      <c r="H69" s="12" t="n"/>
      <c r="I69" s="11" t="n"/>
      <c r="J69" s="11" t="n"/>
      <c r="K69" s="11" t="n"/>
      <c r="L69" s="12" t="n"/>
      <c r="M69" s="12" t="n"/>
      <c r="N69" s="11" t="n"/>
    </row>
    <row r="70">
      <c r="A70" s="10" t="n"/>
      <c r="B70" s="11" t="n"/>
      <c r="C70" s="12" t="n"/>
      <c r="D70" s="11" t="n"/>
      <c r="E70" s="13">
        <f>IF($A70="","",IFERROR(TEXTJOIN(CHAR(10),TRUE,FILTER('Learning Objectives'!$D$2:$D$500,'Learning Objectives'!$A$2:$A$500="6–7 Years",'Learning Objectives'!$B$2:$B$500=$A70)),""))</f>
        <v/>
      </c>
      <c r="F70" s="11" t="n"/>
      <c r="G70" s="12" t="n"/>
      <c r="H70" s="12" t="n"/>
      <c r="I70" s="11" t="n"/>
      <c r="J70" s="11" t="n"/>
      <c r="K70" s="11" t="n"/>
      <c r="L70" s="12" t="n"/>
      <c r="M70" s="12" t="n"/>
      <c r="N70" s="11" t="n"/>
    </row>
    <row r="71">
      <c r="A71" s="10" t="n"/>
      <c r="B71" s="11" t="n"/>
      <c r="C71" s="12" t="n"/>
      <c r="D71" s="11" t="n"/>
      <c r="E71" s="13">
        <f>IF($A71="","",IFERROR(TEXTJOIN(CHAR(10),TRUE,FILTER('Learning Objectives'!$D$2:$D$500,'Learning Objectives'!$A$2:$A$500="6–7 Years",'Learning Objectives'!$B$2:$B$500=$A71)),""))</f>
        <v/>
      </c>
      <c r="F71" s="11" t="n"/>
      <c r="G71" s="12" t="n"/>
      <c r="H71" s="12" t="n"/>
      <c r="I71" s="11" t="n"/>
      <c r="J71" s="11" t="n"/>
      <c r="K71" s="11" t="n"/>
      <c r="L71" s="12" t="n"/>
      <c r="M71" s="12" t="n"/>
      <c r="N71" s="11" t="n"/>
    </row>
    <row r="72">
      <c r="A72" s="10" t="n"/>
      <c r="B72" s="11" t="n"/>
      <c r="C72" s="12" t="n"/>
      <c r="D72" s="11" t="n"/>
      <c r="E72" s="13">
        <f>IF($A72="","",IFERROR(TEXTJOIN(CHAR(10),TRUE,FILTER('Learning Objectives'!$D$2:$D$500,'Learning Objectives'!$A$2:$A$500="6–7 Years",'Learning Objectives'!$B$2:$B$500=$A72)),""))</f>
        <v/>
      </c>
      <c r="F72" s="11" t="n"/>
      <c r="G72" s="12" t="n"/>
      <c r="H72" s="12" t="n"/>
      <c r="I72" s="11" t="n"/>
      <c r="J72" s="11" t="n"/>
      <c r="K72" s="11" t="n"/>
      <c r="L72" s="12" t="n"/>
      <c r="M72" s="12" t="n"/>
      <c r="N72" s="11" t="n"/>
    </row>
    <row r="73">
      <c r="A73" s="10" t="n"/>
      <c r="B73" s="11" t="n"/>
      <c r="C73" s="12" t="n"/>
      <c r="D73" s="11" t="n"/>
      <c r="E73" s="13">
        <f>IF($A73="","",IFERROR(TEXTJOIN(CHAR(10),TRUE,FILTER('Learning Objectives'!$D$2:$D$500,'Learning Objectives'!$A$2:$A$500="6–7 Years",'Learning Objectives'!$B$2:$B$500=$A73)),""))</f>
        <v/>
      </c>
      <c r="F73" s="11" t="n"/>
      <c r="G73" s="12" t="n"/>
      <c r="H73" s="12" t="n"/>
      <c r="I73" s="11" t="n"/>
      <c r="J73" s="11" t="n"/>
      <c r="K73" s="11" t="n"/>
      <c r="L73" s="12" t="n"/>
      <c r="M73" s="12" t="n"/>
      <c r="N73" s="11" t="n"/>
    </row>
    <row r="74">
      <c r="A74" s="10" t="n"/>
      <c r="B74" s="11" t="n"/>
      <c r="C74" s="12" t="n"/>
      <c r="D74" s="11" t="n"/>
      <c r="E74" s="13">
        <f>IF($A74="","",IFERROR(TEXTJOIN(CHAR(10),TRUE,FILTER('Learning Objectives'!$D$2:$D$500,'Learning Objectives'!$A$2:$A$500="6–7 Years",'Learning Objectives'!$B$2:$B$500=$A74)),""))</f>
        <v/>
      </c>
      <c r="F74" s="11" t="n"/>
      <c r="G74" s="12" t="n"/>
      <c r="H74" s="12" t="n"/>
      <c r="I74" s="11" t="n"/>
      <c r="J74" s="11" t="n"/>
      <c r="K74" s="11" t="n"/>
      <c r="L74" s="12" t="n"/>
      <c r="M74" s="12" t="n"/>
      <c r="N74" s="11" t="n"/>
    </row>
    <row r="75">
      <c r="A75" s="10" t="n"/>
      <c r="B75" s="11" t="n"/>
      <c r="C75" s="12" t="n"/>
      <c r="D75" s="11" t="n"/>
      <c r="E75" s="13">
        <f>IF($A75="","",IFERROR(TEXTJOIN(CHAR(10),TRUE,FILTER('Learning Objectives'!$D$2:$D$500,'Learning Objectives'!$A$2:$A$500="6–7 Years",'Learning Objectives'!$B$2:$B$500=$A75)),""))</f>
        <v/>
      </c>
      <c r="F75" s="11" t="n"/>
      <c r="G75" s="12" t="n"/>
      <c r="H75" s="12" t="n"/>
      <c r="I75" s="11" t="n"/>
      <c r="J75" s="11" t="n"/>
      <c r="K75" s="11" t="n"/>
      <c r="L75" s="12" t="n"/>
      <c r="M75" s="12" t="n"/>
      <c r="N75" s="11" t="n"/>
    </row>
    <row r="76">
      <c r="A76" s="10" t="n"/>
      <c r="B76" s="11" t="n"/>
      <c r="C76" s="12" t="n"/>
      <c r="D76" s="11" t="n"/>
      <c r="E76" s="13">
        <f>IF($A76="","",IFERROR(TEXTJOIN(CHAR(10),TRUE,FILTER('Learning Objectives'!$D$2:$D$500,'Learning Objectives'!$A$2:$A$500="6–7 Years",'Learning Objectives'!$B$2:$B$500=$A76)),""))</f>
        <v/>
      </c>
      <c r="F76" s="11" t="n"/>
      <c r="G76" s="12" t="n"/>
      <c r="H76" s="12" t="n"/>
      <c r="I76" s="11" t="n"/>
      <c r="J76" s="11" t="n"/>
      <c r="K76" s="11" t="n"/>
      <c r="L76" s="12" t="n"/>
      <c r="M76" s="12" t="n"/>
      <c r="N76" s="11" t="n"/>
    </row>
    <row r="77">
      <c r="A77" s="10" t="n"/>
      <c r="B77" s="11" t="n"/>
      <c r="C77" s="12" t="n"/>
      <c r="D77" s="11" t="n"/>
      <c r="E77" s="13">
        <f>IF($A77="","",IFERROR(TEXTJOIN(CHAR(10),TRUE,FILTER('Learning Objectives'!$D$2:$D$500,'Learning Objectives'!$A$2:$A$500="6–7 Years",'Learning Objectives'!$B$2:$B$500=$A77)),""))</f>
        <v/>
      </c>
      <c r="F77" s="11" t="n"/>
      <c r="G77" s="12" t="n"/>
      <c r="H77" s="12" t="n"/>
      <c r="I77" s="11" t="n"/>
      <c r="J77" s="11" t="n"/>
      <c r="K77" s="11" t="n"/>
      <c r="L77" s="12" t="n"/>
      <c r="M77" s="12" t="n"/>
      <c r="N77" s="11" t="n"/>
    </row>
    <row r="78">
      <c r="A78" s="10" t="n"/>
      <c r="B78" s="11" t="n"/>
      <c r="C78" s="12" t="n"/>
      <c r="D78" s="11" t="n"/>
      <c r="E78" s="13">
        <f>IF($A78="","",IFERROR(TEXTJOIN(CHAR(10),TRUE,FILTER('Learning Objectives'!$D$2:$D$500,'Learning Objectives'!$A$2:$A$500="6–7 Years",'Learning Objectives'!$B$2:$B$500=$A78)),""))</f>
        <v/>
      </c>
      <c r="F78" s="11" t="n"/>
      <c r="G78" s="12" t="n"/>
      <c r="H78" s="12" t="n"/>
      <c r="I78" s="11" t="n"/>
      <c r="J78" s="11" t="n"/>
      <c r="K78" s="11" t="n"/>
      <c r="L78" s="12" t="n"/>
      <c r="M78" s="12" t="n"/>
      <c r="N78" s="11" t="n"/>
    </row>
    <row r="79">
      <c r="A79" s="10" t="n"/>
      <c r="B79" s="11" t="n"/>
      <c r="C79" s="12" t="n"/>
      <c r="D79" s="11" t="n"/>
      <c r="E79" s="13">
        <f>IF($A79="","",IFERROR(TEXTJOIN(CHAR(10),TRUE,FILTER('Learning Objectives'!$D$2:$D$500,'Learning Objectives'!$A$2:$A$500="6–7 Years",'Learning Objectives'!$B$2:$B$500=$A79)),""))</f>
        <v/>
      </c>
      <c r="F79" s="11" t="n"/>
      <c r="G79" s="12" t="n"/>
      <c r="H79" s="12" t="n"/>
      <c r="I79" s="11" t="n"/>
      <c r="J79" s="11" t="n"/>
      <c r="K79" s="11" t="n"/>
      <c r="L79" s="12" t="n"/>
      <c r="M79" s="12" t="n"/>
      <c r="N79" s="11" t="n"/>
    </row>
    <row r="80">
      <c r="A80" s="10" t="n"/>
      <c r="B80" s="11" t="n"/>
      <c r="C80" s="12" t="n"/>
      <c r="D80" s="11" t="n"/>
      <c r="E80" s="13">
        <f>IF($A80="","",IFERROR(TEXTJOIN(CHAR(10),TRUE,FILTER('Learning Objectives'!$D$2:$D$500,'Learning Objectives'!$A$2:$A$500="6–7 Years",'Learning Objectives'!$B$2:$B$500=$A80)),""))</f>
        <v/>
      </c>
      <c r="F80" s="11" t="n"/>
      <c r="G80" s="12" t="n"/>
      <c r="H80" s="12" t="n"/>
      <c r="I80" s="11" t="n"/>
      <c r="J80" s="11" t="n"/>
      <c r="K80" s="11" t="n"/>
      <c r="L80" s="12" t="n"/>
      <c r="M80" s="12" t="n"/>
      <c r="N80" s="11" t="n"/>
    </row>
    <row r="81">
      <c r="A81" s="10" t="n"/>
      <c r="B81" s="11" t="n"/>
      <c r="C81" s="12" t="n"/>
      <c r="D81" s="11" t="n"/>
      <c r="E81" s="13">
        <f>IF($A81="","",IFERROR(TEXTJOIN(CHAR(10),TRUE,FILTER('Learning Objectives'!$D$2:$D$500,'Learning Objectives'!$A$2:$A$500="6–7 Years",'Learning Objectives'!$B$2:$B$500=$A81)),""))</f>
        <v/>
      </c>
      <c r="F81" s="11" t="n"/>
      <c r="G81" s="12" t="n"/>
      <c r="H81" s="12" t="n"/>
      <c r="I81" s="11" t="n"/>
      <c r="J81" s="11" t="n"/>
      <c r="K81" s="11" t="n"/>
      <c r="L81" s="12" t="n"/>
      <c r="M81" s="12" t="n"/>
      <c r="N81" s="11" t="n"/>
    </row>
    <row r="82">
      <c r="A82" s="10" t="n"/>
      <c r="B82" s="11" t="n"/>
      <c r="C82" s="12" t="n"/>
      <c r="D82" s="11" t="n"/>
      <c r="E82" s="13">
        <f>IF($A82="","",IFERROR(TEXTJOIN(CHAR(10),TRUE,FILTER('Learning Objectives'!$D$2:$D$500,'Learning Objectives'!$A$2:$A$500="6–7 Years",'Learning Objectives'!$B$2:$B$500=$A82)),""))</f>
        <v/>
      </c>
      <c r="F82" s="11" t="n"/>
      <c r="G82" s="12" t="n"/>
      <c r="H82" s="12" t="n"/>
      <c r="I82" s="11" t="n"/>
      <c r="J82" s="11" t="n"/>
      <c r="K82" s="11" t="n"/>
      <c r="L82" s="12" t="n"/>
      <c r="M82" s="12" t="n"/>
      <c r="N82" s="11" t="n"/>
    </row>
    <row r="83">
      <c r="A83" s="10" t="n"/>
      <c r="B83" s="11" t="n"/>
      <c r="C83" s="12" t="n"/>
      <c r="D83" s="11" t="n"/>
      <c r="E83" s="13">
        <f>IF($A83="","",IFERROR(TEXTJOIN(CHAR(10),TRUE,FILTER('Learning Objectives'!$D$2:$D$500,'Learning Objectives'!$A$2:$A$500="6–7 Years",'Learning Objectives'!$B$2:$B$500=$A83)),""))</f>
        <v/>
      </c>
      <c r="F83" s="11" t="n"/>
      <c r="G83" s="12" t="n"/>
      <c r="H83" s="12" t="n"/>
      <c r="I83" s="11" t="n"/>
      <c r="J83" s="11" t="n"/>
      <c r="K83" s="11" t="n"/>
      <c r="L83" s="12" t="n"/>
      <c r="M83" s="12" t="n"/>
      <c r="N83" s="11" t="n"/>
    </row>
    <row r="84">
      <c r="A84" s="10" t="n"/>
      <c r="B84" s="11" t="n"/>
      <c r="C84" s="12" t="n"/>
      <c r="D84" s="11" t="n"/>
      <c r="E84" s="13">
        <f>IF($A84="","",IFERROR(TEXTJOIN(CHAR(10),TRUE,FILTER('Learning Objectives'!$D$2:$D$500,'Learning Objectives'!$A$2:$A$500="6–7 Years",'Learning Objectives'!$B$2:$B$500=$A84)),""))</f>
        <v/>
      </c>
      <c r="F84" s="11" t="n"/>
      <c r="G84" s="12" t="n"/>
      <c r="H84" s="12" t="n"/>
      <c r="I84" s="11" t="n"/>
      <c r="J84" s="11" t="n"/>
      <c r="K84" s="11" t="n"/>
      <c r="L84" s="12" t="n"/>
      <c r="M84" s="12" t="n"/>
      <c r="N84" s="11" t="n"/>
    </row>
    <row r="85">
      <c r="A85" s="10" t="n"/>
      <c r="B85" s="11" t="n"/>
      <c r="C85" s="12" t="n"/>
      <c r="D85" s="11" t="n"/>
      <c r="E85" s="13">
        <f>IF($A85="","",IFERROR(TEXTJOIN(CHAR(10),TRUE,FILTER('Learning Objectives'!$D$2:$D$500,'Learning Objectives'!$A$2:$A$500="6–7 Years",'Learning Objectives'!$B$2:$B$500=$A85)),""))</f>
        <v/>
      </c>
      <c r="F85" s="11" t="n"/>
      <c r="G85" s="12" t="n"/>
      <c r="H85" s="12" t="n"/>
      <c r="I85" s="11" t="n"/>
      <c r="J85" s="11" t="n"/>
      <c r="K85" s="11" t="n"/>
      <c r="L85" s="12" t="n"/>
      <c r="M85" s="12" t="n"/>
      <c r="N85" s="11" t="n"/>
    </row>
    <row r="86">
      <c r="A86" s="10" t="n"/>
      <c r="B86" s="11" t="n"/>
      <c r="C86" s="12" t="n"/>
      <c r="D86" s="11" t="n"/>
      <c r="E86" s="13">
        <f>IF($A86="","",IFERROR(TEXTJOIN(CHAR(10),TRUE,FILTER('Learning Objectives'!$D$2:$D$500,'Learning Objectives'!$A$2:$A$500="6–7 Years",'Learning Objectives'!$B$2:$B$500=$A86)),""))</f>
        <v/>
      </c>
      <c r="F86" s="11" t="n"/>
      <c r="G86" s="12" t="n"/>
      <c r="H86" s="12" t="n"/>
      <c r="I86" s="11" t="n"/>
      <c r="J86" s="11" t="n"/>
      <c r="K86" s="11" t="n"/>
      <c r="L86" s="12" t="n"/>
      <c r="M86" s="12" t="n"/>
      <c r="N86" s="11" t="n"/>
    </row>
    <row r="87">
      <c r="A87" s="10" t="n"/>
      <c r="B87" s="11" t="n"/>
      <c r="C87" s="12" t="n"/>
      <c r="D87" s="11" t="n"/>
      <c r="E87" s="13">
        <f>IF($A87="","",IFERROR(TEXTJOIN(CHAR(10),TRUE,FILTER('Learning Objectives'!$D$2:$D$500,'Learning Objectives'!$A$2:$A$500="6–7 Years",'Learning Objectives'!$B$2:$B$500=$A87)),""))</f>
        <v/>
      </c>
      <c r="F87" s="11" t="n"/>
      <c r="G87" s="12" t="n"/>
      <c r="H87" s="12" t="n"/>
      <c r="I87" s="11" t="n"/>
      <c r="J87" s="11" t="n"/>
      <c r="K87" s="11" t="n"/>
      <c r="L87" s="12" t="n"/>
      <c r="M87" s="12" t="n"/>
      <c r="N87" s="11" t="n"/>
    </row>
    <row r="88">
      <c r="A88" s="10" t="n"/>
      <c r="B88" s="11" t="n"/>
      <c r="C88" s="12" t="n"/>
      <c r="D88" s="11" t="n"/>
      <c r="E88" s="13">
        <f>IF($A88="","",IFERROR(TEXTJOIN(CHAR(10),TRUE,FILTER('Learning Objectives'!$D$2:$D$500,'Learning Objectives'!$A$2:$A$500="6–7 Years",'Learning Objectives'!$B$2:$B$500=$A88)),""))</f>
        <v/>
      </c>
      <c r="F88" s="11" t="n"/>
      <c r="G88" s="12" t="n"/>
      <c r="H88" s="12" t="n"/>
      <c r="I88" s="11" t="n"/>
      <c r="J88" s="11" t="n"/>
      <c r="K88" s="11" t="n"/>
      <c r="L88" s="12" t="n"/>
      <c r="M88" s="12" t="n"/>
      <c r="N88" s="11" t="n"/>
    </row>
    <row r="89">
      <c r="A89" s="10" t="n"/>
      <c r="B89" s="11" t="n"/>
      <c r="C89" s="12" t="n"/>
      <c r="D89" s="11" t="n"/>
      <c r="E89" s="13">
        <f>IF($A89="","",IFERROR(TEXTJOIN(CHAR(10),TRUE,FILTER('Learning Objectives'!$D$2:$D$500,'Learning Objectives'!$A$2:$A$500="6–7 Years",'Learning Objectives'!$B$2:$B$500=$A89)),""))</f>
        <v/>
      </c>
      <c r="F89" s="11" t="n"/>
      <c r="G89" s="12" t="n"/>
      <c r="H89" s="12" t="n"/>
      <c r="I89" s="11" t="n"/>
      <c r="J89" s="11" t="n"/>
      <c r="K89" s="11" t="n"/>
      <c r="L89" s="12" t="n"/>
      <c r="M89" s="12" t="n"/>
      <c r="N89" s="11" t="n"/>
    </row>
    <row r="90">
      <c r="A90" s="10" t="n"/>
      <c r="B90" s="11" t="n"/>
      <c r="C90" s="12" t="n"/>
      <c r="D90" s="11" t="n"/>
      <c r="E90" s="13">
        <f>IF($A90="","",IFERROR(TEXTJOIN(CHAR(10),TRUE,FILTER('Learning Objectives'!$D$2:$D$500,'Learning Objectives'!$A$2:$A$500="6–7 Years",'Learning Objectives'!$B$2:$B$500=$A90)),""))</f>
        <v/>
      </c>
      <c r="F90" s="11" t="n"/>
      <c r="G90" s="12" t="n"/>
      <c r="H90" s="12" t="n"/>
      <c r="I90" s="11" t="n"/>
      <c r="J90" s="11" t="n"/>
      <c r="K90" s="11" t="n"/>
      <c r="L90" s="12" t="n"/>
      <c r="M90" s="12" t="n"/>
      <c r="N90" s="11" t="n"/>
    </row>
    <row r="91">
      <c r="A91" s="10" t="n"/>
      <c r="B91" s="11" t="n"/>
      <c r="C91" s="12" t="n"/>
      <c r="D91" s="11" t="n"/>
      <c r="E91" s="13">
        <f>IF($A91="","",IFERROR(TEXTJOIN(CHAR(10),TRUE,FILTER('Learning Objectives'!$D$2:$D$500,'Learning Objectives'!$A$2:$A$500="6–7 Years",'Learning Objectives'!$B$2:$B$500=$A91)),""))</f>
        <v/>
      </c>
      <c r="F91" s="11" t="n"/>
      <c r="G91" s="12" t="n"/>
      <c r="H91" s="12" t="n"/>
      <c r="I91" s="11" t="n"/>
      <c r="J91" s="11" t="n"/>
      <c r="K91" s="11" t="n"/>
      <c r="L91" s="12" t="n"/>
      <c r="M91" s="12" t="n"/>
      <c r="N91" s="11" t="n"/>
    </row>
    <row r="92">
      <c r="A92" s="10" t="n"/>
      <c r="B92" s="11" t="n"/>
      <c r="C92" s="12" t="n"/>
      <c r="D92" s="11" t="n"/>
      <c r="E92" s="13">
        <f>IF($A92="","",IFERROR(TEXTJOIN(CHAR(10),TRUE,FILTER('Learning Objectives'!$D$2:$D$500,'Learning Objectives'!$A$2:$A$500="6–7 Years",'Learning Objectives'!$B$2:$B$500=$A92)),""))</f>
        <v/>
      </c>
      <c r="F92" s="11" t="n"/>
      <c r="G92" s="12" t="n"/>
      <c r="H92" s="12" t="n"/>
      <c r="I92" s="11" t="n"/>
      <c r="J92" s="11" t="n"/>
      <c r="K92" s="11" t="n"/>
      <c r="L92" s="12" t="n"/>
      <c r="M92" s="12" t="n"/>
      <c r="N92" s="11" t="n"/>
    </row>
    <row r="93">
      <c r="A93" s="10" t="n"/>
      <c r="B93" s="11" t="n"/>
      <c r="C93" s="12" t="n"/>
      <c r="D93" s="11" t="n"/>
      <c r="E93" s="13">
        <f>IF($A93="","",IFERROR(TEXTJOIN(CHAR(10),TRUE,FILTER('Learning Objectives'!$D$2:$D$500,'Learning Objectives'!$A$2:$A$500="6–7 Years",'Learning Objectives'!$B$2:$B$500=$A93)),""))</f>
        <v/>
      </c>
      <c r="F93" s="11" t="n"/>
      <c r="G93" s="12" t="n"/>
      <c r="H93" s="12" t="n"/>
      <c r="I93" s="11" t="n"/>
      <c r="J93" s="11" t="n"/>
      <c r="K93" s="11" t="n"/>
      <c r="L93" s="12" t="n"/>
      <c r="M93" s="12" t="n"/>
      <c r="N93" s="11" t="n"/>
    </row>
    <row r="94">
      <c r="A94" s="10" t="n"/>
      <c r="B94" s="11" t="n"/>
      <c r="C94" s="12" t="n"/>
      <c r="D94" s="11" t="n"/>
      <c r="E94" s="13">
        <f>IF($A94="","",IFERROR(TEXTJOIN(CHAR(10),TRUE,FILTER('Learning Objectives'!$D$2:$D$500,'Learning Objectives'!$A$2:$A$500="6–7 Years",'Learning Objectives'!$B$2:$B$500=$A94)),""))</f>
        <v/>
      </c>
      <c r="F94" s="11" t="n"/>
      <c r="G94" s="12" t="n"/>
      <c r="H94" s="12" t="n"/>
      <c r="I94" s="11" t="n"/>
      <c r="J94" s="11" t="n"/>
      <c r="K94" s="11" t="n"/>
      <c r="L94" s="12" t="n"/>
      <c r="M94" s="12" t="n"/>
      <c r="N94" s="11" t="n"/>
    </row>
    <row r="95">
      <c r="A95" s="10" t="n"/>
      <c r="B95" s="11" t="n"/>
      <c r="C95" s="12" t="n"/>
      <c r="D95" s="11" t="n"/>
      <c r="E95" s="13">
        <f>IF($A95="","",IFERROR(TEXTJOIN(CHAR(10),TRUE,FILTER('Learning Objectives'!$D$2:$D$500,'Learning Objectives'!$A$2:$A$500="6–7 Years",'Learning Objectives'!$B$2:$B$500=$A95)),""))</f>
        <v/>
      </c>
      <c r="F95" s="11" t="n"/>
      <c r="G95" s="12" t="n"/>
      <c r="H95" s="12" t="n"/>
      <c r="I95" s="11" t="n"/>
      <c r="J95" s="11" t="n"/>
      <c r="K95" s="11" t="n"/>
      <c r="L95" s="12" t="n"/>
      <c r="M95" s="12" t="n"/>
      <c r="N95" s="11" t="n"/>
    </row>
    <row r="96">
      <c r="A96" s="10" t="n"/>
      <c r="B96" s="11" t="n"/>
      <c r="C96" s="12" t="n"/>
      <c r="D96" s="11" t="n"/>
      <c r="E96" s="13">
        <f>IF($A96="","",IFERROR(TEXTJOIN(CHAR(10),TRUE,FILTER('Learning Objectives'!$D$2:$D$500,'Learning Objectives'!$A$2:$A$500="6–7 Years",'Learning Objectives'!$B$2:$B$500=$A96)),""))</f>
        <v/>
      </c>
      <c r="F96" s="11" t="n"/>
      <c r="G96" s="12" t="n"/>
      <c r="H96" s="12" t="n"/>
      <c r="I96" s="11" t="n"/>
      <c r="J96" s="11" t="n"/>
      <c r="K96" s="11" t="n"/>
      <c r="L96" s="12" t="n"/>
      <c r="M96" s="12" t="n"/>
      <c r="N96" s="11" t="n"/>
    </row>
    <row r="97">
      <c r="A97" s="10" t="n"/>
      <c r="B97" s="11" t="n"/>
      <c r="C97" s="12" t="n"/>
      <c r="D97" s="11" t="n"/>
      <c r="E97" s="13">
        <f>IF($A97="","",IFERROR(TEXTJOIN(CHAR(10),TRUE,FILTER('Learning Objectives'!$D$2:$D$500,'Learning Objectives'!$A$2:$A$500="6–7 Years",'Learning Objectives'!$B$2:$B$500=$A97)),""))</f>
        <v/>
      </c>
      <c r="F97" s="11" t="n"/>
      <c r="G97" s="12" t="n"/>
      <c r="H97" s="12" t="n"/>
      <c r="I97" s="11" t="n"/>
      <c r="J97" s="11" t="n"/>
      <c r="K97" s="11" t="n"/>
      <c r="L97" s="12" t="n"/>
      <c r="M97" s="12" t="n"/>
      <c r="N97" s="11" t="n"/>
    </row>
    <row r="98">
      <c r="A98" s="10" t="n"/>
      <c r="B98" s="11" t="n"/>
      <c r="C98" s="12" t="n"/>
      <c r="D98" s="11" t="n"/>
      <c r="E98" s="13">
        <f>IF($A98="","",IFERROR(TEXTJOIN(CHAR(10),TRUE,FILTER('Learning Objectives'!$D$2:$D$500,'Learning Objectives'!$A$2:$A$500="6–7 Years",'Learning Objectives'!$B$2:$B$500=$A98)),""))</f>
        <v/>
      </c>
      <c r="F98" s="11" t="n"/>
      <c r="G98" s="12" t="n"/>
      <c r="H98" s="12" t="n"/>
      <c r="I98" s="11" t="n"/>
      <c r="J98" s="11" t="n"/>
      <c r="K98" s="11" t="n"/>
      <c r="L98" s="12" t="n"/>
      <c r="M98" s="12" t="n"/>
      <c r="N98" s="11" t="n"/>
    </row>
    <row r="99">
      <c r="A99" s="10" t="n"/>
      <c r="B99" s="11" t="n"/>
      <c r="C99" s="12" t="n"/>
      <c r="D99" s="11" t="n"/>
      <c r="E99" s="13">
        <f>IF($A99="","",IFERROR(TEXTJOIN(CHAR(10),TRUE,FILTER('Learning Objectives'!$D$2:$D$500,'Learning Objectives'!$A$2:$A$500="6–7 Years",'Learning Objectives'!$B$2:$B$500=$A99)),""))</f>
        <v/>
      </c>
      <c r="F99" s="11" t="n"/>
      <c r="G99" s="12" t="n"/>
      <c r="H99" s="12" t="n"/>
      <c r="I99" s="11" t="n"/>
      <c r="J99" s="11" t="n"/>
      <c r="K99" s="11" t="n"/>
      <c r="L99" s="12" t="n"/>
      <c r="M99" s="12" t="n"/>
      <c r="N99" s="11" t="n"/>
    </row>
    <row r="100">
      <c r="A100" s="10" t="n"/>
      <c r="B100" s="11" t="n"/>
      <c r="C100" s="12" t="n"/>
      <c r="D100" s="11" t="n"/>
      <c r="E100" s="13">
        <f>IF($A100="","",IFERROR(TEXTJOIN(CHAR(10),TRUE,FILTER('Learning Objectives'!$D$2:$D$500,'Learning Objectives'!$A$2:$A$500="6–7 Years",'Learning Objectives'!$B$2:$B$500=$A100)),""))</f>
        <v/>
      </c>
      <c r="F100" s="11" t="n"/>
      <c r="G100" s="12" t="n"/>
      <c r="H100" s="12" t="n"/>
      <c r="I100" s="11" t="n"/>
      <c r="J100" s="11" t="n"/>
      <c r="K100" s="11" t="n"/>
      <c r="L100" s="12" t="n"/>
      <c r="M100" s="12" t="n"/>
      <c r="N100" s="11" t="n"/>
    </row>
    <row r="101">
      <c r="A101" s="10" t="n"/>
      <c r="B101" s="11" t="n"/>
      <c r="C101" s="12" t="n"/>
      <c r="D101" s="11" t="n"/>
      <c r="E101" s="13">
        <f>IF($A101="","",IFERROR(TEXTJOIN(CHAR(10),TRUE,FILTER('Learning Objectives'!$D$2:$D$500,'Learning Objectives'!$A$2:$A$500="6–7 Years",'Learning Objectives'!$B$2:$B$500=$A101)),""))</f>
        <v/>
      </c>
      <c r="F101" s="11" t="n"/>
      <c r="G101" s="12" t="n"/>
      <c r="H101" s="12" t="n"/>
      <c r="I101" s="11" t="n"/>
      <c r="J101" s="11" t="n"/>
      <c r="K101" s="11" t="n"/>
      <c r="L101" s="12" t="n"/>
      <c r="M101" s="12" t="n"/>
      <c r="N101" s="11" t="n"/>
    </row>
    <row r="102">
      <c r="A102" s="10" t="n"/>
      <c r="B102" s="11" t="n"/>
      <c r="C102" s="12" t="n"/>
      <c r="D102" s="11" t="n"/>
      <c r="E102" s="13">
        <f>IF($A102="","",IFERROR(TEXTJOIN(CHAR(10),TRUE,FILTER('Learning Objectives'!$D$2:$D$500,'Learning Objectives'!$A$2:$A$500="6–7 Years",'Learning Objectives'!$B$2:$B$500=$A102)),""))</f>
        <v/>
      </c>
      <c r="F102" s="11" t="n"/>
      <c r="G102" s="12" t="n"/>
      <c r="H102" s="12" t="n"/>
      <c r="I102" s="11" t="n"/>
      <c r="J102" s="11" t="n"/>
      <c r="K102" s="11" t="n"/>
      <c r="L102" s="12" t="n"/>
      <c r="M102" s="12" t="n"/>
      <c r="N102" s="11" t="n"/>
    </row>
    <row r="103">
      <c r="A103" s="10" t="n"/>
      <c r="B103" s="11" t="n"/>
      <c r="C103" s="12" t="n"/>
      <c r="D103" s="11" t="n"/>
      <c r="E103" s="13">
        <f>IF($A103="","",IFERROR(TEXTJOIN(CHAR(10),TRUE,FILTER('Learning Objectives'!$D$2:$D$500,'Learning Objectives'!$A$2:$A$500="6–7 Years",'Learning Objectives'!$B$2:$B$500=$A103)),""))</f>
        <v/>
      </c>
      <c r="F103" s="11" t="n"/>
      <c r="G103" s="12" t="n"/>
      <c r="H103" s="12" t="n"/>
      <c r="I103" s="11" t="n"/>
      <c r="J103" s="11" t="n"/>
      <c r="K103" s="11" t="n"/>
      <c r="L103" s="12" t="n"/>
      <c r="M103" s="12" t="n"/>
      <c r="N103" s="11" t="n"/>
    </row>
    <row r="104">
      <c r="A104" s="10" t="n"/>
      <c r="B104" s="11" t="n"/>
      <c r="C104" s="12" t="n"/>
      <c r="D104" s="11" t="n"/>
      <c r="E104" s="13">
        <f>IF($A104="","",IFERROR(TEXTJOIN(CHAR(10),TRUE,FILTER('Learning Objectives'!$D$2:$D$500,'Learning Objectives'!$A$2:$A$500="6–7 Years",'Learning Objectives'!$B$2:$B$500=$A104)),""))</f>
        <v/>
      </c>
      <c r="F104" s="11" t="n"/>
      <c r="G104" s="12" t="n"/>
      <c r="H104" s="12" t="n"/>
      <c r="I104" s="11" t="n"/>
      <c r="J104" s="11" t="n"/>
      <c r="K104" s="11" t="n"/>
      <c r="L104" s="12" t="n"/>
      <c r="M104" s="12" t="n"/>
      <c r="N104" s="11" t="n"/>
    </row>
    <row r="105">
      <c r="A105" s="10" t="n"/>
      <c r="B105" s="11" t="n"/>
      <c r="C105" s="12" t="n"/>
      <c r="D105" s="11" t="n"/>
      <c r="E105" s="13">
        <f>IF($A105="","",IFERROR(TEXTJOIN(CHAR(10),TRUE,FILTER('Learning Objectives'!$D$2:$D$500,'Learning Objectives'!$A$2:$A$500="6–7 Years",'Learning Objectives'!$B$2:$B$500=$A105)),""))</f>
        <v/>
      </c>
      <c r="F105" s="11" t="n"/>
      <c r="G105" s="12" t="n"/>
      <c r="H105" s="12" t="n"/>
      <c r="I105" s="11" t="n"/>
      <c r="J105" s="11" t="n"/>
      <c r="K105" s="11" t="n"/>
      <c r="L105" s="12" t="n"/>
      <c r="M105" s="12" t="n"/>
      <c r="N105" s="11" t="n"/>
    </row>
    <row r="106">
      <c r="A106" s="10" t="n"/>
      <c r="B106" s="11" t="n"/>
      <c r="C106" s="12" t="n"/>
      <c r="D106" s="11" t="n"/>
      <c r="E106" s="13">
        <f>IF($A106="","",IFERROR(TEXTJOIN(CHAR(10),TRUE,FILTER('Learning Objectives'!$D$2:$D$500,'Learning Objectives'!$A$2:$A$500="6–7 Years",'Learning Objectives'!$B$2:$B$500=$A106)),""))</f>
        <v/>
      </c>
      <c r="F106" s="11" t="n"/>
      <c r="G106" s="12" t="n"/>
      <c r="H106" s="12" t="n"/>
      <c r="I106" s="11" t="n"/>
      <c r="J106" s="11" t="n"/>
      <c r="K106" s="11" t="n"/>
      <c r="L106" s="12" t="n"/>
      <c r="M106" s="12" t="n"/>
      <c r="N106" s="11" t="n"/>
    </row>
    <row r="107">
      <c r="A107" s="10" t="n"/>
      <c r="B107" s="11" t="n"/>
      <c r="C107" s="12" t="n"/>
      <c r="D107" s="11" t="n"/>
      <c r="E107" s="13">
        <f>IF($A107="","",IFERROR(TEXTJOIN(CHAR(10),TRUE,FILTER('Learning Objectives'!$D$2:$D$500,'Learning Objectives'!$A$2:$A$500="6–7 Years",'Learning Objectives'!$B$2:$B$500=$A107)),""))</f>
        <v/>
      </c>
      <c r="F107" s="11" t="n"/>
      <c r="G107" s="12" t="n"/>
      <c r="H107" s="12" t="n"/>
      <c r="I107" s="11" t="n"/>
      <c r="J107" s="11" t="n"/>
      <c r="K107" s="11" t="n"/>
      <c r="L107" s="12" t="n"/>
      <c r="M107" s="12" t="n"/>
      <c r="N107" s="11" t="n"/>
    </row>
    <row r="108">
      <c r="A108" s="10" t="n"/>
      <c r="B108" s="11" t="n"/>
      <c r="C108" s="12" t="n"/>
      <c r="D108" s="11" t="n"/>
      <c r="E108" s="13">
        <f>IF($A108="","",IFERROR(TEXTJOIN(CHAR(10),TRUE,FILTER('Learning Objectives'!$D$2:$D$500,'Learning Objectives'!$A$2:$A$500="6–7 Years",'Learning Objectives'!$B$2:$B$500=$A108)),""))</f>
        <v/>
      </c>
      <c r="F108" s="11" t="n"/>
      <c r="G108" s="12" t="n"/>
      <c r="H108" s="12" t="n"/>
      <c r="I108" s="11" t="n"/>
      <c r="J108" s="11" t="n"/>
      <c r="K108" s="11" t="n"/>
      <c r="L108" s="12" t="n"/>
      <c r="M108" s="12" t="n"/>
      <c r="N108" s="11" t="n"/>
    </row>
    <row r="109">
      <c r="A109" s="10" t="n"/>
      <c r="B109" s="11" t="n"/>
      <c r="C109" s="12" t="n"/>
      <c r="D109" s="11" t="n"/>
      <c r="E109" s="13">
        <f>IF($A109="","",IFERROR(TEXTJOIN(CHAR(10),TRUE,FILTER('Learning Objectives'!$D$2:$D$500,'Learning Objectives'!$A$2:$A$500="6–7 Years",'Learning Objectives'!$B$2:$B$500=$A109)),""))</f>
        <v/>
      </c>
      <c r="F109" s="11" t="n"/>
      <c r="G109" s="12" t="n"/>
      <c r="H109" s="12" t="n"/>
      <c r="I109" s="11" t="n"/>
      <c r="J109" s="11" t="n"/>
      <c r="K109" s="11" t="n"/>
      <c r="L109" s="12" t="n"/>
      <c r="M109" s="12" t="n"/>
      <c r="N109" s="11" t="n"/>
    </row>
    <row r="110">
      <c r="A110" s="10" t="n"/>
      <c r="B110" s="11" t="n"/>
      <c r="C110" s="12" t="n"/>
      <c r="D110" s="11" t="n"/>
      <c r="E110" s="13">
        <f>IF($A110="","",IFERROR(TEXTJOIN(CHAR(10),TRUE,FILTER('Learning Objectives'!$D$2:$D$500,'Learning Objectives'!$A$2:$A$500="6–7 Years",'Learning Objectives'!$B$2:$B$500=$A110)),""))</f>
        <v/>
      </c>
      <c r="F110" s="11" t="n"/>
      <c r="G110" s="12" t="n"/>
      <c r="H110" s="12" t="n"/>
      <c r="I110" s="11" t="n"/>
      <c r="J110" s="11" t="n"/>
      <c r="K110" s="11" t="n"/>
      <c r="L110" s="12" t="n"/>
      <c r="M110" s="12" t="n"/>
      <c r="N110" s="11" t="n"/>
    </row>
    <row r="111">
      <c r="A111" s="10" t="n"/>
      <c r="B111" s="11" t="n"/>
      <c r="C111" s="12" t="n"/>
      <c r="D111" s="11" t="n"/>
      <c r="E111" s="13">
        <f>IF($A111="","",IFERROR(TEXTJOIN(CHAR(10),TRUE,FILTER('Learning Objectives'!$D$2:$D$500,'Learning Objectives'!$A$2:$A$500="6–7 Years",'Learning Objectives'!$B$2:$B$500=$A111)),""))</f>
        <v/>
      </c>
      <c r="F111" s="11" t="n"/>
      <c r="G111" s="12" t="n"/>
      <c r="H111" s="12" t="n"/>
      <c r="I111" s="11" t="n"/>
      <c r="J111" s="11" t="n"/>
      <c r="K111" s="11" t="n"/>
      <c r="L111" s="12" t="n"/>
      <c r="M111" s="12" t="n"/>
      <c r="N111" s="11" t="n"/>
    </row>
    <row r="112">
      <c r="A112" s="10" t="n"/>
      <c r="B112" s="11" t="n"/>
      <c r="C112" s="12" t="n"/>
      <c r="D112" s="11" t="n"/>
      <c r="E112" s="13">
        <f>IF($A112="","",IFERROR(TEXTJOIN(CHAR(10),TRUE,FILTER('Learning Objectives'!$D$2:$D$500,'Learning Objectives'!$A$2:$A$500="6–7 Years",'Learning Objectives'!$B$2:$B$500=$A112)),""))</f>
        <v/>
      </c>
      <c r="F112" s="11" t="n"/>
      <c r="G112" s="12" t="n"/>
      <c r="H112" s="12" t="n"/>
      <c r="I112" s="11" t="n"/>
      <c r="J112" s="11" t="n"/>
      <c r="K112" s="11" t="n"/>
      <c r="L112" s="12" t="n"/>
      <c r="M112" s="12" t="n"/>
      <c r="N112" s="11" t="n"/>
    </row>
    <row r="113">
      <c r="A113" s="10" t="n"/>
      <c r="B113" s="11" t="n"/>
      <c r="C113" s="12" t="n"/>
      <c r="D113" s="11" t="n"/>
      <c r="E113" s="13">
        <f>IF($A113="","",IFERROR(TEXTJOIN(CHAR(10),TRUE,FILTER('Learning Objectives'!$D$2:$D$500,'Learning Objectives'!$A$2:$A$500="6–7 Years",'Learning Objectives'!$B$2:$B$500=$A113)),""))</f>
        <v/>
      </c>
      <c r="F113" s="11" t="n"/>
      <c r="G113" s="12" t="n"/>
      <c r="H113" s="12" t="n"/>
      <c r="I113" s="11" t="n"/>
      <c r="J113" s="11" t="n"/>
      <c r="K113" s="11" t="n"/>
      <c r="L113" s="12" t="n"/>
      <c r="M113" s="12" t="n"/>
      <c r="N113" s="11" t="n"/>
    </row>
    <row r="114">
      <c r="A114" s="10" t="n"/>
      <c r="B114" s="11" t="n"/>
      <c r="C114" s="12" t="n"/>
      <c r="D114" s="11" t="n"/>
      <c r="E114" s="13">
        <f>IF($A114="","",IFERROR(TEXTJOIN(CHAR(10),TRUE,FILTER('Learning Objectives'!$D$2:$D$500,'Learning Objectives'!$A$2:$A$500="6–7 Years",'Learning Objectives'!$B$2:$B$500=$A114)),""))</f>
        <v/>
      </c>
      <c r="F114" s="11" t="n"/>
      <c r="G114" s="12" t="n"/>
      <c r="H114" s="12" t="n"/>
      <c r="I114" s="11" t="n"/>
      <c r="J114" s="11" t="n"/>
      <c r="K114" s="11" t="n"/>
      <c r="L114" s="12" t="n"/>
      <c r="M114" s="12" t="n"/>
      <c r="N114" s="11" t="n"/>
    </row>
    <row r="115">
      <c r="A115" s="10" t="n"/>
      <c r="B115" s="11" t="n"/>
      <c r="C115" s="12" t="n"/>
      <c r="D115" s="11" t="n"/>
      <c r="E115" s="13">
        <f>IF($A115="","",IFERROR(TEXTJOIN(CHAR(10),TRUE,FILTER('Learning Objectives'!$D$2:$D$500,'Learning Objectives'!$A$2:$A$500="6–7 Years",'Learning Objectives'!$B$2:$B$500=$A115)),""))</f>
        <v/>
      </c>
      <c r="F115" s="11" t="n"/>
      <c r="G115" s="12" t="n"/>
      <c r="H115" s="12" t="n"/>
      <c r="I115" s="11" t="n"/>
      <c r="J115" s="11" t="n"/>
      <c r="K115" s="11" t="n"/>
      <c r="L115" s="12" t="n"/>
      <c r="M115" s="12" t="n"/>
      <c r="N115" s="11" t="n"/>
    </row>
    <row r="116">
      <c r="A116" s="10" t="n"/>
      <c r="B116" s="11" t="n"/>
      <c r="C116" s="12" t="n"/>
      <c r="D116" s="11" t="n"/>
      <c r="E116" s="13">
        <f>IF($A116="","",IFERROR(TEXTJOIN(CHAR(10),TRUE,FILTER('Learning Objectives'!$D$2:$D$500,'Learning Objectives'!$A$2:$A$500="6–7 Years",'Learning Objectives'!$B$2:$B$500=$A116)),""))</f>
        <v/>
      </c>
      <c r="F116" s="11" t="n"/>
      <c r="G116" s="12" t="n"/>
      <c r="H116" s="12" t="n"/>
      <c r="I116" s="11" t="n"/>
      <c r="J116" s="11" t="n"/>
      <c r="K116" s="11" t="n"/>
      <c r="L116" s="12" t="n"/>
      <c r="M116" s="12" t="n"/>
      <c r="N116" s="11" t="n"/>
    </row>
    <row r="117">
      <c r="A117" s="10" t="n"/>
      <c r="B117" s="11" t="n"/>
      <c r="C117" s="12" t="n"/>
      <c r="D117" s="11" t="n"/>
      <c r="E117" s="13">
        <f>IF($A117="","",IFERROR(TEXTJOIN(CHAR(10),TRUE,FILTER('Learning Objectives'!$D$2:$D$500,'Learning Objectives'!$A$2:$A$500="6–7 Years",'Learning Objectives'!$B$2:$B$500=$A117)),""))</f>
        <v/>
      </c>
      <c r="F117" s="11" t="n"/>
      <c r="G117" s="12" t="n"/>
      <c r="H117" s="12" t="n"/>
      <c r="I117" s="11" t="n"/>
      <c r="J117" s="11" t="n"/>
      <c r="K117" s="11" t="n"/>
      <c r="L117" s="12" t="n"/>
      <c r="M117" s="12" t="n"/>
      <c r="N117" s="11" t="n"/>
    </row>
    <row r="118">
      <c r="A118" s="10" t="n"/>
      <c r="B118" s="11" t="n"/>
      <c r="C118" s="12" t="n"/>
      <c r="D118" s="11" t="n"/>
      <c r="E118" s="13">
        <f>IF($A118="","",IFERROR(TEXTJOIN(CHAR(10),TRUE,FILTER('Learning Objectives'!$D$2:$D$500,'Learning Objectives'!$A$2:$A$500="6–7 Years",'Learning Objectives'!$B$2:$B$500=$A118)),""))</f>
        <v/>
      </c>
      <c r="F118" s="11" t="n"/>
      <c r="G118" s="12" t="n"/>
      <c r="H118" s="12" t="n"/>
      <c r="I118" s="11" t="n"/>
      <c r="J118" s="11" t="n"/>
      <c r="K118" s="11" t="n"/>
      <c r="L118" s="12" t="n"/>
      <c r="M118" s="12" t="n"/>
      <c r="N118" s="11" t="n"/>
    </row>
    <row r="119">
      <c r="A119" s="10" t="n"/>
      <c r="B119" s="11" t="n"/>
      <c r="C119" s="12" t="n"/>
      <c r="D119" s="11" t="n"/>
      <c r="E119" s="13">
        <f>IF($A119="","",IFERROR(TEXTJOIN(CHAR(10),TRUE,FILTER('Learning Objectives'!$D$2:$D$500,'Learning Objectives'!$A$2:$A$500="6–7 Years",'Learning Objectives'!$B$2:$B$500=$A119)),""))</f>
        <v/>
      </c>
      <c r="F119" s="11" t="n"/>
      <c r="G119" s="12" t="n"/>
      <c r="H119" s="12" t="n"/>
      <c r="I119" s="11" t="n"/>
      <c r="J119" s="11" t="n"/>
      <c r="K119" s="11" t="n"/>
      <c r="L119" s="12" t="n"/>
      <c r="M119" s="12" t="n"/>
      <c r="N119" s="11" t="n"/>
    </row>
    <row r="120">
      <c r="A120" s="10" t="n"/>
      <c r="B120" s="11" t="n"/>
      <c r="C120" s="12" t="n"/>
      <c r="D120" s="11" t="n"/>
      <c r="E120" s="13">
        <f>IF($A120="","",IFERROR(TEXTJOIN(CHAR(10),TRUE,FILTER('Learning Objectives'!$D$2:$D$500,'Learning Objectives'!$A$2:$A$500="6–7 Years",'Learning Objectives'!$B$2:$B$500=$A120)),""))</f>
        <v/>
      </c>
      <c r="F120" s="11" t="n"/>
      <c r="G120" s="12" t="n"/>
      <c r="H120" s="12" t="n"/>
      <c r="I120" s="11" t="n"/>
      <c r="J120" s="11" t="n"/>
      <c r="K120" s="11" t="n"/>
      <c r="L120" s="12" t="n"/>
      <c r="M120" s="12" t="n"/>
      <c r="N120" s="11" t="n"/>
    </row>
    <row r="121">
      <c r="A121" s="10" t="n"/>
      <c r="B121" s="11" t="n"/>
      <c r="C121" s="12" t="n"/>
      <c r="D121" s="11" t="n"/>
      <c r="E121" s="13">
        <f>IF($A121="","",IFERROR(TEXTJOIN(CHAR(10),TRUE,FILTER('Learning Objectives'!$D$2:$D$500,'Learning Objectives'!$A$2:$A$500="6–7 Years",'Learning Objectives'!$B$2:$B$500=$A121)),""))</f>
        <v/>
      </c>
      <c r="F121" s="11" t="n"/>
      <c r="G121" s="12" t="n"/>
      <c r="H121" s="12" t="n"/>
      <c r="I121" s="11" t="n"/>
      <c r="J121" s="11" t="n"/>
      <c r="K121" s="11" t="n"/>
      <c r="L121" s="12" t="n"/>
      <c r="M121" s="12" t="n"/>
      <c r="N121" s="11" t="n"/>
    </row>
    <row r="122">
      <c r="A122" s="10" t="n"/>
      <c r="B122" s="11" t="n"/>
      <c r="C122" s="12" t="n"/>
      <c r="D122" s="11" t="n"/>
      <c r="E122" s="13">
        <f>IF($A122="","",IFERROR(TEXTJOIN(CHAR(10),TRUE,FILTER('Learning Objectives'!$D$2:$D$500,'Learning Objectives'!$A$2:$A$500="6–7 Years",'Learning Objectives'!$B$2:$B$500=$A122)),""))</f>
        <v/>
      </c>
      <c r="F122" s="11" t="n"/>
      <c r="G122" s="12" t="n"/>
      <c r="H122" s="12" t="n"/>
      <c r="I122" s="11" t="n"/>
      <c r="J122" s="11" t="n"/>
      <c r="K122" s="11" t="n"/>
      <c r="L122" s="12" t="n"/>
      <c r="M122" s="12" t="n"/>
      <c r="N122" s="11" t="n"/>
    </row>
    <row r="123">
      <c r="A123" s="10" t="n"/>
      <c r="B123" s="11" t="n"/>
      <c r="C123" s="12" t="n"/>
      <c r="D123" s="11" t="n"/>
      <c r="E123" s="13">
        <f>IF($A123="","",IFERROR(TEXTJOIN(CHAR(10),TRUE,FILTER('Learning Objectives'!$D$2:$D$500,'Learning Objectives'!$A$2:$A$500="6–7 Years",'Learning Objectives'!$B$2:$B$500=$A123)),""))</f>
        <v/>
      </c>
      <c r="F123" s="11" t="n"/>
      <c r="G123" s="12" t="n"/>
      <c r="H123" s="12" t="n"/>
      <c r="I123" s="11" t="n"/>
      <c r="J123" s="11" t="n"/>
      <c r="K123" s="11" t="n"/>
      <c r="L123" s="12" t="n"/>
      <c r="M123" s="12" t="n"/>
      <c r="N123" s="11" t="n"/>
    </row>
    <row r="124">
      <c r="A124" s="10" t="n"/>
      <c r="B124" s="11" t="n"/>
      <c r="C124" s="12" t="n"/>
      <c r="D124" s="11" t="n"/>
      <c r="E124" s="13">
        <f>IF($A124="","",IFERROR(TEXTJOIN(CHAR(10),TRUE,FILTER('Learning Objectives'!$D$2:$D$500,'Learning Objectives'!$A$2:$A$500="6–7 Years",'Learning Objectives'!$B$2:$B$500=$A124)),""))</f>
        <v/>
      </c>
      <c r="F124" s="11" t="n"/>
      <c r="G124" s="12" t="n"/>
      <c r="H124" s="12" t="n"/>
      <c r="I124" s="11" t="n"/>
      <c r="J124" s="11" t="n"/>
      <c r="K124" s="11" t="n"/>
      <c r="L124" s="12" t="n"/>
      <c r="M124" s="12" t="n"/>
      <c r="N124" s="11" t="n"/>
    </row>
    <row r="125">
      <c r="A125" s="10" t="n"/>
      <c r="B125" s="11" t="n"/>
      <c r="C125" s="12" t="n"/>
      <c r="D125" s="11" t="n"/>
      <c r="E125" s="13">
        <f>IF($A125="","",IFERROR(TEXTJOIN(CHAR(10),TRUE,FILTER('Learning Objectives'!$D$2:$D$500,'Learning Objectives'!$A$2:$A$500="6–7 Years",'Learning Objectives'!$B$2:$B$500=$A125)),""))</f>
        <v/>
      </c>
      <c r="F125" s="11" t="n"/>
      <c r="G125" s="12" t="n"/>
      <c r="H125" s="12" t="n"/>
      <c r="I125" s="11" t="n"/>
      <c r="J125" s="11" t="n"/>
      <c r="K125" s="11" t="n"/>
      <c r="L125" s="12" t="n"/>
      <c r="M125" s="12" t="n"/>
      <c r="N125" s="11" t="n"/>
    </row>
    <row r="126">
      <c r="A126" s="10" t="n"/>
      <c r="B126" s="11" t="n"/>
      <c r="C126" s="12" t="n"/>
      <c r="D126" s="11" t="n"/>
      <c r="E126" s="13">
        <f>IF($A126="","",IFERROR(TEXTJOIN(CHAR(10),TRUE,FILTER('Learning Objectives'!$D$2:$D$500,'Learning Objectives'!$A$2:$A$500="6–7 Years",'Learning Objectives'!$B$2:$B$500=$A126)),""))</f>
        <v/>
      </c>
      <c r="F126" s="11" t="n"/>
      <c r="G126" s="12" t="n"/>
      <c r="H126" s="12" t="n"/>
      <c r="I126" s="11" t="n"/>
      <c r="J126" s="11" t="n"/>
      <c r="K126" s="11" t="n"/>
      <c r="L126" s="12" t="n"/>
      <c r="M126" s="12" t="n"/>
      <c r="N126" s="11" t="n"/>
    </row>
    <row r="127">
      <c r="A127" s="10" t="n"/>
      <c r="B127" s="11" t="n"/>
      <c r="C127" s="12" t="n"/>
      <c r="D127" s="11" t="n"/>
      <c r="E127" s="13">
        <f>IF($A127="","",IFERROR(TEXTJOIN(CHAR(10),TRUE,FILTER('Learning Objectives'!$D$2:$D$500,'Learning Objectives'!$A$2:$A$500="6–7 Years",'Learning Objectives'!$B$2:$B$500=$A127)),""))</f>
        <v/>
      </c>
      <c r="F127" s="11" t="n"/>
      <c r="G127" s="12" t="n"/>
      <c r="H127" s="12" t="n"/>
      <c r="I127" s="11" t="n"/>
      <c r="J127" s="11" t="n"/>
      <c r="K127" s="11" t="n"/>
      <c r="L127" s="12" t="n"/>
      <c r="M127" s="12" t="n"/>
      <c r="N127" s="11" t="n"/>
    </row>
    <row r="128">
      <c r="A128" s="10" t="n"/>
      <c r="B128" s="11" t="n"/>
      <c r="C128" s="12" t="n"/>
      <c r="D128" s="11" t="n"/>
      <c r="E128" s="13">
        <f>IF($A128="","",IFERROR(TEXTJOIN(CHAR(10),TRUE,FILTER('Learning Objectives'!$D$2:$D$500,'Learning Objectives'!$A$2:$A$500="6–7 Years",'Learning Objectives'!$B$2:$B$500=$A128)),""))</f>
        <v/>
      </c>
      <c r="F128" s="11" t="n"/>
      <c r="G128" s="12" t="n"/>
      <c r="H128" s="12" t="n"/>
      <c r="I128" s="11" t="n"/>
      <c r="J128" s="11" t="n"/>
      <c r="K128" s="11" t="n"/>
      <c r="L128" s="12" t="n"/>
      <c r="M128" s="12" t="n"/>
      <c r="N128" s="11" t="n"/>
    </row>
    <row r="129">
      <c r="A129" s="10" t="n"/>
      <c r="B129" s="11" t="n"/>
      <c r="C129" s="12" t="n"/>
      <c r="D129" s="11" t="n"/>
      <c r="E129" s="13">
        <f>IF($A129="","",IFERROR(TEXTJOIN(CHAR(10),TRUE,FILTER('Learning Objectives'!$D$2:$D$500,'Learning Objectives'!$A$2:$A$500="6–7 Years",'Learning Objectives'!$B$2:$B$500=$A129)),""))</f>
        <v/>
      </c>
      <c r="F129" s="11" t="n"/>
      <c r="G129" s="12" t="n"/>
      <c r="H129" s="12" t="n"/>
      <c r="I129" s="11" t="n"/>
      <c r="J129" s="11" t="n"/>
      <c r="K129" s="11" t="n"/>
      <c r="L129" s="12" t="n"/>
      <c r="M129" s="12" t="n"/>
      <c r="N129" s="11" t="n"/>
    </row>
    <row r="130">
      <c r="A130" s="10" t="n"/>
      <c r="B130" s="11" t="n"/>
      <c r="C130" s="12" t="n"/>
      <c r="D130" s="11" t="n"/>
      <c r="E130" s="13">
        <f>IF($A130="","",IFERROR(TEXTJOIN(CHAR(10),TRUE,FILTER('Learning Objectives'!$D$2:$D$500,'Learning Objectives'!$A$2:$A$500="6–7 Years",'Learning Objectives'!$B$2:$B$500=$A130)),""))</f>
        <v/>
      </c>
      <c r="F130" s="11" t="n"/>
      <c r="G130" s="12" t="n"/>
      <c r="H130" s="12" t="n"/>
      <c r="I130" s="11" t="n"/>
      <c r="J130" s="11" t="n"/>
      <c r="K130" s="11" t="n"/>
      <c r="L130" s="12" t="n"/>
      <c r="M130" s="12" t="n"/>
      <c r="N130" s="11" t="n"/>
    </row>
    <row r="131">
      <c r="A131" s="10" t="n"/>
      <c r="B131" s="11" t="n"/>
      <c r="C131" s="12" t="n"/>
      <c r="D131" s="11" t="n"/>
      <c r="E131" s="13">
        <f>IF($A131="","",IFERROR(TEXTJOIN(CHAR(10),TRUE,FILTER('Learning Objectives'!$D$2:$D$500,'Learning Objectives'!$A$2:$A$500="6–7 Years",'Learning Objectives'!$B$2:$B$500=$A131)),""))</f>
        <v/>
      </c>
      <c r="F131" s="11" t="n"/>
      <c r="G131" s="12" t="n"/>
      <c r="H131" s="12" t="n"/>
      <c r="I131" s="11" t="n"/>
      <c r="J131" s="11" t="n"/>
      <c r="K131" s="11" t="n"/>
      <c r="L131" s="12" t="n"/>
      <c r="M131" s="12" t="n"/>
      <c r="N131" s="11" t="n"/>
    </row>
    <row r="132">
      <c r="A132" s="10" t="n"/>
      <c r="B132" s="11" t="n"/>
      <c r="C132" s="12" t="n"/>
      <c r="D132" s="11" t="n"/>
      <c r="E132" s="13">
        <f>IF($A132="","",IFERROR(TEXTJOIN(CHAR(10),TRUE,FILTER('Learning Objectives'!$D$2:$D$500,'Learning Objectives'!$A$2:$A$500="6–7 Years",'Learning Objectives'!$B$2:$B$500=$A132)),""))</f>
        <v/>
      </c>
      <c r="F132" s="11" t="n"/>
      <c r="G132" s="12" t="n"/>
      <c r="H132" s="12" t="n"/>
      <c r="I132" s="11" t="n"/>
      <c r="J132" s="11" t="n"/>
      <c r="K132" s="11" t="n"/>
      <c r="L132" s="12" t="n"/>
      <c r="M132" s="12" t="n"/>
      <c r="N132" s="11" t="n"/>
    </row>
    <row r="133">
      <c r="A133" s="10" t="n"/>
      <c r="B133" s="11" t="n"/>
      <c r="C133" s="12" t="n"/>
      <c r="D133" s="11" t="n"/>
      <c r="E133" s="13">
        <f>IF($A133="","",IFERROR(TEXTJOIN(CHAR(10),TRUE,FILTER('Learning Objectives'!$D$2:$D$500,'Learning Objectives'!$A$2:$A$500="6–7 Years",'Learning Objectives'!$B$2:$B$500=$A133)),""))</f>
        <v/>
      </c>
      <c r="F133" s="11" t="n"/>
      <c r="G133" s="12" t="n"/>
      <c r="H133" s="12" t="n"/>
      <c r="I133" s="11" t="n"/>
      <c r="J133" s="11" t="n"/>
      <c r="K133" s="11" t="n"/>
      <c r="L133" s="12" t="n"/>
      <c r="M133" s="12" t="n"/>
      <c r="N133" s="11" t="n"/>
    </row>
    <row r="134">
      <c r="A134" s="10" t="n"/>
      <c r="B134" s="11" t="n"/>
      <c r="C134" s="12" t="n"/>
      <c r="D134" s="11" t="n"/>
      <c r="E134" s="13">
        <f>IF($A134="","",IFERROR(TEXTJOIN(CHAR(10),TRUE,FILTER('Learning Objectives'!$D$2:$D$500,'Learning Objectives'!$A$2:$A$500="6–7 Years",'Learning Objectives'!$B$2:$B$500=$A134)),""))</f>
        <v/>
      </c>
      <c r="F134" s="11" t="n"/>
      <c r="G134" s="12" t="n"/>
      <c r="H134" s="12" t="n"/>
      <c r="I134" s="11" t="n"/>
      <c r="J134" s="11" t="n"/>
      <c r="K134" s="11" t="n"/>
      <c r="L134" s="12" t="n"/>
      <c r="M134" s="12" t="n"/>
      <c r="N134" s="11" t="n"/>
    </row>
    <row r="135">
      <c r="A135" s="10" t="n"/>
      <c r="B135" s="11" t="n"/>
      <c r="C135" s="12" t="n"/>
      <c r="D135" s="11" t="n"/>
      <c r="E135" s="13">
        <f>IF($A135="","",IFERROR(TEXTJOIN(CHAR(10),TRUE,FILTER('Learning Objectives'!$D$2:$D$500,'Learning Objectives'!$A$2:$A$500="6–7 Years",'Learning Objectives'!$B$2:$B$500=$A135)),""))</f>
        <v/>
      </c>
      <c r="F135" s="11" t="n"/>
      <c r="G135" s="12" t="n"/>
      <c r="H135" s="12" t="n"/>
      <c r="I135" s="11" t="n"/>
      <c r="J135" s="11" t="n"/>
      <c r="K135" s="11" t="n"/>
      <c r="L135" s="12" t="n"/>
      <c r="M135" s="12" t="n"/>
      <c r="N135" s="11" t="n"/>
    </row>
    <row r="136">
      <c r="A136" s="10" t="n"/>
      <c r="B136" s="11" t="n"/>
      <c r="C136" s="12" t="n"/>
      <c r="D136" s="11" t="n"/>
      <c r="E136" s="13">
        <f>IF($A136="","",IFERROR(TEXTJOIN(CHAR(10),TRUE,FILTER('Learning Objectives'!$D$2:$D$500,'Learning Objectives'!$A$2:$A$500="6–7 Years",'Learning Objectives'!$B$2:$B$500=$A136)),""))</f>
        <v/>
      </c>
      <c r="F136" s="11" t="n"/>
      <c r="G136" s="12" t="n"/>
      <c r="H136" s="12" t="n"/>
      <c r="I136" s="11" t="n"/>
      <c r="J136" s="11" t="n"/>
      <c r="K136" s="11" t="n"/>
      <c r="L136" s="12" t="n"/>
      <c r="M136" s="12" t="n"/>
      <c r="N136" s="11" t="n"/>
    </row>
    <row r="137">
      <c r="A137" s="10" t="n"/>
      <c r="B137" s="11" t="n"/>
      <c r="C137" s="12" t="n"/>
      <c r="D137" s="11" t="n"/>
      <c r="E137" s="13">
        <f>IF($A137="","",IFERROR(TEXTJOIN(CHAR(10),TRUE,FILTER('Learning Objectives'!$D$2:$D$500,'Learning Objectives'!$A$2:$A$500="6–7 Years",'Learning Objectives'!$B$2:$B$500=$A137)),""))</f>
        <v/>
      </c>
      <c r="F137" s="11" t="n"/>
      <c r="G137" s="12" t="n"/>
      <c r="H137" s="12" t="n"/>
      <c r="I137" s="11" t="n"/>
      <c r="J137" s="11" t="n"/>
      <c r="K137" s="11" t="n"/>
      <c r="L137" s="12" t="n"/>
      <c r="M137" s="12" t="n"/>
      <c r="N137" s="11" t="n"/>
    </row>
    <row r="138">
      <c r="A138" s="10" t="n"/>
      <c r="B138" s="11" t="n"/>
      <c r="C138" s="12" t="n"/>
      <c r="D138" s="11" t="n"/>
      <c r="E138" s="13">
        <f>IF($A138="","",IFERROR(TEXTJOIN(CHAR(10),TRUE,FILTER('Learning Objectives'!$D$2:$D$500,'Learning Objectives'!$A$2:$A$500="6–7 Years",'Learning Objectives'!$B$2:$B$500=$A138)),""))</f>
        <v/>
      </c>
      <c r="F138" s="11" t="n"/>
      <c r="G138" s="12" t="n"/>
      <c r="H138" s="12" t="n"/>
      <c r="I138" s="11" t="n"/>
      <c r="J138" s="11" t="n"/>
      <c r="K138" s="11" t="n"/>
      <c r="L138" s="12" t="n"/>
      <c r="M138" s="12" t="n"/>
      <c r="N138" s="11" t="n"/>
    </row>
    <row r="139">
      <c r="A139" s="10" t="n"/>
      <c r="B139" s="11" t="n"/>
      <c r="C139" s="12" t="n"/>
      <c r="D139" s="11" t="n"/>
      <c r="E139" s="13">
        <f>IF($A139="","",IFERROR(TEXTJOIN(CHAR(10),TRUE,FILTER('Learning Objectives'!$D$2:$D$500,'Learning Objectives'!$A$2:$A$500="6–7 Years",'Learning Objectives'!$B$2:$B$500=$A139)),""))</f>
        <v/>
      </c>
      <c r="F139" s="11" t="n"/>
      <c r="G139" s="12" t="n"/>
      <c r="H139" s="12" t="n"/>
      <c r="I139" s="11" t="n"/>
      <c r="J139" s="11" t="n"/>
      <c r="K139" s="11" t="n"/>
      <c r="L139" s="12" t="n"/>
      <c r="M139" s="12" t="n"/>
      <c r="N139" s="11" t="n"/>
    </row>
    <row r="140">
      <c r="A140" s="10" t="n"/>
      <c r="B140" s="11" t="n"/>
      <c r="C140" s="12" t="n"/>
      <c r="D140" s="11" t="n"/>
      <c r="E140" s="13">
        <f>IF($A140="","",IFERROR(TEXTJOIN(CHAR(10),TRUE,FILTER('Learning Objectives'!$D$2:$D$500,'Learning Objectives'!$A$2:$A$500="6–7 Years",'Learning Objectives'!$B$2:$B$500=$A140)),""))</f>
        <v/>
      </c>
      <c r="F140" s="11" t="n"/>
      <c r="G140" s="12" t="n"/>
      <c r="H140" s="12" t="n"/>
      <c r="I140" s="11" t="n"/>
      <c r="J140" s="11" t="n"/>
      <c r="K140" s="11" t="n"/>
      <c r="L140" s="12" t="n"/>
      <c r="M140" s="12" t="n"/>
      <c r="N140" s="11" t="n"/>
    </row>
    <row r="141">
      <c r="A141" s="10" t="n"/>
      <c r="B141" s="11" t="n"/>
      <c r="C141" s="12" t="n"/>
      <c r="D141" s="11" t="n"/>
      <c r="E141" s="13">
        <f>IF($A141="","",IFERROR(TEXTJOIN(CHAR(10),TRUE,FILTER('Learning Objectives'!$D$2:$D$500,'Learning Objectives'!$A$2:$A$500="6–7 Years",'Learning Objectives'!$B$2:$B$500=$A141)),""))</f>
        <v/>
      </c>
      <c r="F141" s="11" t="n"/>
      <c r="G141" s="12" t="n"/>
      <c r="H141" s="12" t="n"/>
      <c r="I141" s="11" t="n"/>
      <c r="J141" s="11" t="n"/>
      <c r="K141" s="11" t="n"/>
      <c r="L141" s="12" t="n"/>
      <c r="M141" s="12" t="n"/>
      <c r="N141" s="11" t="n"/>
    </row>
    <row r="142">
      <c r="A142" s="10" t="n"/>
      <c r="B142" s="11" t="n"/>
      <c r="C142" s="12" t="n"/>
      <c r="D142" s="11" t="n"/>
      <c r="E142" s="13">
        <f>IF($A142="","",IFERROR(TEXTJOIN(CHAR(10),TRUE,FILTER('Learning Objectives'!$D$2:$D$500,'Learning Objectives'!$A$2:$A$500="6–7 Years",'Learning Objectives'!$B$2:$B$500=$A142)),""))</f>
        <v/>
      </c>
      <c r="F142" s="11" t="n"/>
      <c r="G142" s="12" t="n"/>
      <c r="H142" s="12" t="n"/>
      <c r="I142" s="11" t="n"/>
      <c r="J142" s="11" t="n"/>
      <c r="K142" s="11" t="n"/>
      <c r="L142" s="12" t="n"/>
      <c r="M142" s="12" t="n"/>
      <c r="N142" s="11" t="n"/>
    </row>
    <row r="143">
      <c r="A143" s="10" t="n"/>
      <c r="B143" s="11" t="n"/>
      <c r="C143" s="12" t="n"/>
      <c r="D143" s="11" t="n"/>
      <c r="E143" s="13">
        <f>IF($A143="","",IFERROR(TEXTJOIN(CHAR(10),TRUE,FILTER('Learning Objectives'!$D$2:$D$500,'Learning Objectives'!$A$2:$A$500="6–7 Years",'Learning Objectives'!$B$2:$B$500=$A143)),""))</f>
        <v/>
      </c>
      <c r="F143" s="11" t="n"/>
      <c r="G143" s="12" t="n"/>
      <c r="H143" s="12" t="n"/>
      <c r="I143" s="11" t="n"/>
      <c r="J143" s="11" t="n"/>
      <c r="K143" s="11" t="n"/>
      <c r="L143" s="12" t="n"/>
      <c r="M143" s="12" t="n"/>
      <c r="N143" s="11" t="n"/>
    </row>
    <row r="144">
      <c r="A144" s="10" t="n"/>
      <c r="B144" s="11" t="n"/>
      <c r="C144" s="12" t="n"/>
      <c r="D144" s="11" t="n"/>
      <c r="E144" s="13">
        <f>IF($A144="","",IFERROR(TEXTJOIN(CHAR(10),TRUE,FILTER('Learning Objectives'!$D$2:$D$500,'Learning Objectives'!$A$2:$A$500="6–7 Years",'Learning Objectives'!$B$2:$B$500=$A144)),""))</f>
        <v/>
      </c>
      <c r="F144" s="11" t="n"/>
      <c r="G144" s="12" t="n"/>
      <c r="H144" s="12" t="n"/>
      <c r="I144" s="11" t="n"/>
      <c r="J144" s="11" t="n"/>
      <c r="K144" s="11" t="n"/>
      <c r="L144" s="12" t="n"/>
      <c r="M144" s="12" t="n"/>
      <c r="N144" s="11" t="n"/>
    </row>
    <row r="145">
      <c r="A145" s="10" t="n"/>
      <c r="B145" s="11" t="n"/>
      <c r="C145" s="12" t="n"/>
      <c r="D145" s="11" t="n"/>
      <c r="E145" s="13">
        <f>IF($A145="","",IFERROR(TEXTJOIN(CHAR(10),TRUE,FILTER('Learning Objectives'!$D$2:$D$500,'Learning Objectives'!$A$2:$A$500="6–7 Years",'Learning Objectives'!$B$2:$B$500=$A145)),""))</f>
        <v/>
      </c>
      <c r="F145" s="11" t="n"/>
      <c r="G145" s="12" t="n"/>
      <c r="H145" s="12" t="n"/>
      <c r="I145" s="11" t="n"/>
      <c r="J145" s="11" t="n"/>
      <c r="K145" s="11" t="n"/>
      <c r="L145" s="12" t="n"/>
      <c r="M145" s="12" t="n"/>
      <c r="N145" s="11" t="n"/>
    </row>
    <row r="146">
      <c r="A146" s="10" t="n"/>
      <c r="B146" s="11" t="n"/>
      <c r="C146" s="12" t="n"/>
      <c r="D146" s="11" t="n"/>
      <c r="E146" s="13">
        <f>IF($A146="","",IFERROR(TEXTJOIN(CHAR(10),TRUE,FILTER('Learning Objectives'!$D$2:$D$500,'Learning Objectives'!$A$2:$A$500="6–7 Years",'Learning Objectives'!$B$2:$B$500=$A146)),""))</f>
        <v/>
      </c>
      <c r="F146" s="11" t="n"/>
      <c r="G146" s="12" t="n"/>
      <c r="H146" s="12" t="n"/>
      <c r="I146" s="11" t="n"/>
      <c r="J146" s="11" t="n"/>
      <c r="K146" s="11" t="n"/>
      <c r="L146" s="12" t="n"/>
      <c r="M146" s="12" t="n"/>
      <c r="N146" s="11" t="n"/>
    </row>
    <row r="147">
      <c r="A147" s="10" t="n"/>
      <c r="B147" s="11" t="n"/>
      <c r="C147" s="12" t="n"/>
      <c r="D147" s="11" t="n"/>
      <c r="E147" s="13">
        <f>IF($A147="","",IFERROR(TEXTJOIN(CHAR(10),TRUE,FILTER('Learning Objectives'!$D$2:$D$500,'Learning Objectives'!$A$2:$A$500="6–7 Years",'Learning Objectives'!$B$2:$B$500=$A147)),""))</f>
        <v/>
      </c>
      <c r="F147" s="11" t="n"/>
      <c r="G147" s="12" t="n"/>
      <c r="H147" s="12" t="n"/>
      <c r="I147" s="11" t="n"/>
      <c r="J147" s="11" t="n"/>
      <c r="K147" s="11" t="n"/>
      <c r="L147" s="12" t="n"/>
      <c r="M147" s="12" t="n"/>
      <c r="N147" s="11" t="n"/>
    </row>
    <row r="148">
      <c r="A148" s="10" t="n"/>
      <c r="B148" s="11" t="n"/>
      <c r="C148" s="12" t="n"/>
      <c r="D148" s="11" t="n"/>
      <c r="E148" s="13">
        <f>IF($A148="","",IFERROR(TEXTJOIN(CHAR(10),TRUE,FILTER('Learning Objectives'!$D$2:$D$500,'Learning Objectives'!$A$2:$A$500="6–7 Years",'Learning Objectives'!$B$2:$B$500=$A148)),""))</f>
        <v/>
      </c>
      <c r="F148" s="11" t="n"/>
      <c r="G148" s="12" t="n"/>
      <c r="H148" s="12" t="n"/>
      <c r="I148" s="11" t="n"/>
      <c r="J148" s="11" t="n"/>
      <c r="K148" s="11" t="n"/>
      <c r="L148" s="12" t="n"/>
      <c r="M148" s="12" t="n"/>
      <c r="N148" s="11" t="n"/>
    </row>
    <row r="149">
      <c r="A149" s="10" t="n"/>
      <c r="B149" s="11" t="n"/>
      <c r="C149" s="12" t="n"/>
      <c r="D149" s="11" t="n"/>
      <c r="E149" s="13">
        <f>IF($A149="","",IFERROR(TEXTJOIN(CHAR(10),TRUE,FILTER('Learning Objectives'!$D$2:$D$500,'Learning Objectives'!$A$2:$A$500="6–7 Years",'Learning Objectives'!$B$2:$B$500=$A149)),""))</f>
        <v/>
      </c>
      <c r="F149" s="11" t="n"/>
      <c r="G149" s="12" t="n"/>
      <c r="H149" s="12" t="n"/>
      <c r="I149" s="11" t="n"/>
      <c r="J149" s="11" t="n"/>
      <c r="K149" s="11" t="n"/>
      <c r="L149" s="12" t="n"/>
      <c r="M149" s="12" t="n"/>
      <c r="N149" s="11" t="n"/>
    </row>
    <row r="150">
      <c r="A150" s="10" t="n"/>
      <c r="B150" s="11" t="n"/>
      <c r="C150" s="12" t="n"/>
      <c r="D150" s="11" t="n"/>
      <c r="E150" s="13">
        <f>IF($A150="","",IFERROR(TEXTJOIN(CHAR(10),TRUE,FILTER('Learning Objectives'!$D$2:$D$500,'Learning Objectives'!$A$2:$A$500="6–7 Years",'Learning Objectives'!$B$2:$B$500=$A150)),""))</f>
        <v/>
      </c>
      <c r="F150" s="11" t="n"/>
      <c r="G150" s="12" t="n"/>
      <c r="H150" s="12" t="n"/>
      <c r="I150" s="11" t="n"/>
      <c r="J150" s="11" t="n"/>
      <c r="K150" s="11" t="n"/>
      <c r="L150" s="12" t="n"/>
      <c r="M150" s="12" t="n"/>
      <c r="N150" s="11" t="n"/>
    </row>
    <row r="151">
      <c r="A151" s="10" t="n"/>
      <c r="B151" s="11" t="n"/>
      <c r="C151" s="12" t="n"/>
      <c r="D151" s="11" t="n"/>
      <c r="E151" s="13">
        <f>IF($A151="","",IFERROR(TEXTJOIN(CHAR(10),TRUE,FILTER('Learning Objectives'!$D$2:$D$500,'Learning Objectives'!$A$2:$A$500="6–7 Years",'Learning Objectives'!$B$2:$B$500=$A151)),""))</f>
        <v/>
      </c>
      <c r="F151" s="11" t="n"/>
      <c r="G151" s="12" t="n"/>
      <c r="H151" s="12" t="n"/>
      <c r="I151" s="11" t="n"/>
      <c r="J151" s="11" t="n"/>
      <c r="K151" s="11" t="n"/>
      <c r="L151" s="12" t="n"/>
      <c r="M151" s="12" t="n"/>
      <c r="N151" s="11" t="n"/>
    </row>
    <row r="152">
      <c r="A152" s="10" t="n"/>
      <c r="B152" s="11" t="n"/>
      <c r="C152" s="12" t="n"/>
      <c r="D152" s="11" t="n"/>
      <c r="E152" s="13">
        <f>IF($A152="","",IFERROR(TEXTJOIN(CHAR(10),TRUE,FILTER('Learning Objectives'!$D$2:$D$500,'Learning Objectives'!$A$2:$A$500="6–7 Years",'Learning Objectives'!$B$2:$B$500=$A152)),""))</f>
        <v/>
      </c>
      <c r="F152" s="11" t="n"/>
      <c r="G152" s="12" t="n"/>
      <c r="H152" s="12" t="n"/>
      <c r="I152" s="11" t="n"/>
      <c r="J152" s="11" t="n"/>
      <c r="K152" s="11" t="n"/>
      <c r="L152" s="12" t="n"/>
      <c r="M152" s="12" t="n"/>
      <c r="N152" s="11" t="n"/>
    </row>
    <row r="153">
      <c r="A153" s="10" t="n"/>
      <c r="B153" s="11" t="n"/>
      <c r="C153" s="12" t="n"/>
      <c r="D153" s="11" t="n"/>
      <c r="E153" s="13">
        <f>IF($A153="","",IFERROR(TEXTJOIN(CHAR(10),TRUE,FILTER('Learning Objectives'!$D$2:$D$500,'Learning Objectives'!$A$2:$A$500="6–7 Years",'Learning Objectives'!$B$2:$B$500=$A153)),""))</f>
        <v/>
      </c>
      <c r="F153" s="11" t="n"/>
      <c r="G153" s="12" t="n"/>
      <c r="H153" s="12" t="n"/>
      <c r="I153" s="11" t="n"/>
      <c r="J153" s="11" t="n"/>
      <c r="K153" s="11" t="n"/>
      <c r="L153" s="12" t="n"/>
      <c r="M153" s="12" t="n"/>
      <c r="N153" s="11" t="n"/>
    </row>
    <row r="154">
      <c r="A154" s="10" t="n"/>
      <c r="B154" s="11" t="n"/>
      <c r="C154" s="12" t="n"/>
      <c r="D154" s="11" t="n"/>
      <c r="E154" s="13">
        <f>IF($A154="","",IFERROR(TEXTJOIN(CHAR(10),TRUE,FILTER('Learning Objectives'!$D$2:$D$500,'Learning Objectives'!$A$2:$A$500="6–7 Years",'Learning Objectives'!$B$2:$B$500=$A154)),""))</f>
        <v/>
      </c>
      <c r="F154" s="11" t="n"/>
      <c r="G154" s="12" t="n"/>
      <c r="H154" s="12" t="n"/>
      <c r="I154" s="11" t="n"/>
      <c r="J154" s="11" t="n"/>
      <c r="K154" s="11" t="n"/>
      <c r="L154" s="12" t="n"/>
      <c r="M154" s="12" t="n"/>
      <c r="N154" s="11" t="n"/>
    </row>
    <row r="155">
      <c r="A155" s="10" t="n"/>
      <c r="B155" s="11" t="n"/>
      <c r="C155" s="12" t="n"/>
      <c r="D155" s="11" t="n"/>
      <c r="E155" s="13">
        <f>IF($A155="","",IFERROR(TEXTJOIN(CHAR(10),TRUE,FILTER('Learning Objectives'!$D$2:$D$500,'Learning Objectives'!$A$2:$A$500="6–7 Years",'Learning Objectives'!$B$2:$B$500=$A155)),""))</f>
        <v/>
      </c>
      <c r="F155" s="11" t="n"/>
      <c r="G155" s="12" t="n"/>
      <c r="H155" s="12" t="n"/>
      <c r="I155" s="11" t="n"/>
      <c r="J155" s="11" t="n"/>
      <c r="K155" s="11" t="n"/>
      <c r="L155" s="12" t="n"/>
      <c r="M155" s="12" t="n"/>
      <c r="N155" s="11" t="n"/>
    </row>
    <row r="156">
      <c r="A156" s="10" t="n"/>
      <c r="B156" s="11" t="n"/>
      <c r="C156" s="12" t="n"/>
      <c r="D156" s="11" t="n"/>
      <c r="E156" s="13">
        <f>IF($A156="","",IFERROR(TEXTJOIN(CHAR(10),TRUE,FILTER('Learning Objectives'!$D$2:$D$500,'Learning Objectives'!$A$2:$A$500="6–7 Years",'Learning Objectives'!$B$2:$B$500=$A156)),""))</f>
        <v/>
      </c>
      <c r="F156" s="11" t="n"/>
      <c r="G156" s="12" t="n"/>
      <c r="H156" s="12" t="n"/>
      <c r="I156" s="11" t="n"/>
      <c r="J156" s="11" t="n"/>
      <c r="K156" s="11" t="n"/>
      <c r="L156" s="12" t="n"/>
      <c r="M156" s="12" t="n"/>
      <c r="N156" s="11" t="n"/>
    </row>
    <row r="157">
      <c r="A157" s="10" t="n"/>
      <c r="B157" s="11" t="n"/>
      <c r="C157" s="12" t="n"/>
      <c r="D157" s="11" t="n"/>
      <c r="E157" s="13">
        <f>IF($A157="","",IFERROR(TEXTJOIN(CHAR(10),TRUE,FILTER('Learning Objectives'!$D$2:$D$500,'Learning Objectives'!$A$2:$A$500="6–7 Years",'Learning Objectives'!$B$2:$B$500=$A157)),""))</f>
        <v/>
      </c>
      <c r="F157" s="11" t="n"/>
      <c r="G157" s="12" t="n"/>
      <c r="H157" s="12" t="n"/>
      <c r="I157" s="11" t="n"/>
      <c r="J157" s="11" t="n"/>
      <c r="K157" s="11" t="n"/>
      <c r="L157" s="12" t="n"/>
      <c r="M157" s="12" t="n"/>
      <c r="N157" s="11" t="n"/>
    </row>
    <row r="158">
      <c r="A158" s="10" t="n"/>
      <c r="B158" s="11" t="n"/>
      <c r="C158" s="12" t="n"/>
      <c r="D158" s="11" t="n"/>
      <c r="E158" s="13">
        <f>IF($A158="","",IFERROR(TEXTJOIN(CHAR(10),TRUE,FILTER('Learning Objectives'!$D$2:$D$500,'Learning Objectives'!$A$2:$A$500="6–7 Years",'Learning Objectives'!$B$2:$B$500=$A158)),""))</f>
        <v/>
      </c>
      <c r="F158" s="11" t="n"/>
      <c r="G158" s="12" t="n"/>
      <c r="H158" s="12" t="n"/>
      <c r="I158" s="11" t="n"/>
      <c r="J158" s="11" t="n"/>
      <c r="K158" s="11" t="n"/>
      <c r="L158" s="12" t="n"/>
      <c r="M158" s="12" t="n"/>
      <c r="N158" s="11" t="n"/>
    </row>
    <row r="159">
      <c r="A159" s="10" t="n"/>
      <c r="B159" s="11" t="n"/>
      <c r="C159" s="12" t="n"/>
      <c r="D159" s="11" t="n"/>
      <c r="E159" s="13">
        <f>IF($A159="","",IFERROR(TEXTJOIN(CHAR(10),TRUE,FILTER('Learning Objectives'!$D$2:$D$500,'Learning Objectives'!$A$2:$A$500="6–7 Years",'Learning Objectives'!$B$2:$B$500=$A159)),""))</f>
        <v/>
      </c>
      <c r="F159" s="11" t="n"/>
      <c r="G159" s="12" t="n"/>
      <c r="H159" s="12" t="n"/>
      <c r="I159" s="11" t="n"/>
      <c r="J159" s="11" t="n"/>
      <c r="K159" s="11" t="n"/>
      <c r="L159" s="12" t="n"/>
      <c r="M159" s="12" t="n"/>
      <c r="N159" s="11" t="n"/>
    </row>
    <row r="160">
      <c r="A160" s="10" t="n"/>
      <c r="B160" s="11" t="n"/>
      <c r="C160" s="12" t="n"/>
      <c r="D160" s="11" t="n"/>
      <c r="E160" s="13">
        <f>IF($A160="","",IFERROR(TEXTJOIN(CHAR(10),TRUE,FILTER('Learning Objectives'!$D$2:$D$500,'Learning Objectives'!$A$2:$A$500="6–7 Years",'Learning Objectives'!$B$2:$B$500=$A160)),""))</f>
        <v/>
      </c>
      <c r="F160" s="11" t="n"/>
      <c r="G160" s="12" t="n"/>
      <c r="H160" s="12" t="n"/>
      <c r="I160" s="11" t="n"/>
      <c r="J160" s="11" t="n"/>
      <c r="K160" s="11" t="n"/>
      <c r="L160" s="12" t="n"/>
      <c r="M160" s="12" t="n"/>
      <c r="N160" s="11" t="n"/>
    </row>
    <row r="161">
      <c r="A161" s="10" t="n"/>
      <c r="B161" s="11" t="n"/>
      <c r="C161" s="12" t="n"/>
      <c r="D161" s="11" t="n"/>
      <c r="E161" s="13">
        <f>IF($A161="","",IFERROR(TEXTJOIN(CHAR(10),TRUE,FILTER('Learning Objectives'!$D$2:$D$500,'Learning Objectives'!$A$2:$A$500="6–7 Years",'Learning Objectives'!$B$2:$B$500=$A161)),""))</f>
        <v/>
      </c>
      <c r="F161" s="11" t="n"/>
      <c r="G161" s="12" t="n"/>
      <c r="H161" s="12" t="n"/>
      <c r="I161" s="11" t="n"/>
      <c r="J161" s="11" t="n"/>
      <c r="K161" s="11" t="n"/>
      <c r="L161" s="12" t="n"/>
      <c r="M161" s="12" t="n"/>
      <c r="N161" s="11" t="n"/>
    </row>
    <row r="162">
      <c r="A162" s="10" t="n"/>
      <c r="B162" s="11" t="n"/>
      <c r="C162" s="12" t="n"/>
      <c r="D162" s="11" t="n"/>
      <c r="E162" s="13">
        <f>IF($A162="","",IFERROR(TEXTJOIN(CHAR(10),TRUE,FILTER('Learning Objectives'!$D$2:$D$500,'Learning Objectives'!$A$2:$A$500="6–7 Years",'Learning Objectives'!$B$2:$B$500=$A162)),""))</f>
        <v/>
      </c>
      <c r="F162" s="11" t="n"/>
      <c r="G162" s="12" t="n"/>
      <c r="H162" s="12" t="n"/>
      <c r="I162" s="11" t="n"/>
      <c r="J162" s="11" t="n"/>
      <c r="K162" s="11" t="n"/>
      <c r="L162" s="12" t="n"/>
      <c r="M162" s="12" t="n"/>
      <c r="N162" s="11" t="n"/>
    </row>
    <row r="163">
      <c r="A163" s="10" t="n"/>
      <c r="B163" s="11" t="n"/>
      <c r="C163" s="12" t="n"/>
      <c r="D163" s="11" t="n"/>
      <c r="E163" s="13">
        <f>IF($A163="","",IFERROR(TEXTJOIN(CHAR(10),TRUE,FILTER('Learning Objectives'!$D$2:$D$500,'Learning Objectives'!$A$2:$A$500="6–7 Years",'Learning Objectives'!$B$2:$B$500=$A163)),""))</f>
        <v/>
      </c>
      <c r="F163" s="11" t="n"/>
      <c r="G163" s="12" t="n"/>
      <c r="H163" s="12" t="n"/>
      <c r="I163" s="11" t="n"/>
      <c r="J163" s="11" t="n"/>
      <c r="K163" s="11" t="n"/>
      <c r="L163" s="12" t="n"/>
      <c r="M163" s="12" t="n"/>
      <c r="N163" s="11" t="n"/>
    </row>
    <row r="164">
      <c r="A164" s="10" t="n"/>
      <c r="B164" s="11" t="n"/>
      <c r="C164" s="12" t="n"/>
      <c r="D164" s="11" t="n"/>
      <c r="E164" s="13">
        <f>IF($A164="","",IFERROR(TEXTJOIN(CHAR(10),TRUE,FILTER('Learning Objectives'!$D$2:$D$500,'Learning Objectives'!$A$2:$A$500="6–7 Years",'Learning Objectives'!$B$2:$B$500=$A164)),""))</f>
        <v/>
      </c>
      <c r="F164" s="11" t="n"/>
      <c r="G164" s="12" t="n"/>
      <c r="H164" s="12" t="n"/>
      <c r="I164" s="11" t="n"/>
      <c r="J164" s="11" t="n"/>
      <c r="K164" s="11" t="n"/>
      <c r="L164" s="12" t="n"/>
      <c r="M164" s="12" t="n"/>
      <c r="N164" s="11" t="n"/>
    </row>
    <row r="165">
      <c r="A165" s="10" t="n"/>
      <c r="B165" s="11" t="n"/>
      <c r="C165" s="12" t="n"/>
      <c r="D165" s="11" t="n"/>
      <c r="E165" s="13">
        <f>IF($A165="","",IFERROR(TEXTJOIN(CHAR(10),TRUE,FILTER('Learning Objectives'!$D$2:$D$500,'Learning Objectives'!$A$2:$A$500="6–7 Years",'Learning Objectives'!$B$2:$B$500=$A165)),""))</f>
        <v/>
      </c>
      <c r="F165" s="11" t="n"/>
      <c r="G165" s="12" t="n"/>
      <c r="H165" s="12" t="n"/>
      <c r="I165" s="11" t="n"/>
      <c r="J165" s="11" t="n"/>
      <c r="K165" s="11" t="n"/>
      <c r="L165" s="12" t="n"/>
      <c r="M165" s="12" t="n"/>
      <c r="N165" s="11" t="n"/>
    </row>
    <row r="166">
      <c r="A166" s="10" t="n"/>
      <c r="B166" s="11" t="n"/>
      <c r="C166" s="12" t="n"/>
      <c r="D166" s="11" t="n"/>
      <c r="E166" s="13">
        <f>IF($A166="","",IFERROR(TEXTJOIN(CHAR(10),TRUE,FILTER('Learning Objectives'!$D$2:$D$500,'Learning Objectives'!$A$2:$A$500="6–7 Years",'Learning Objectives'!$B$2:$B$500=$A166)),""))</f>
        <v/>
      </c>
      <c r="F166" s="11" t="n"/>
      <c r="G166" s="12" t="n"/>
      <c r="H166" s="12" t="n"/>
      <c r="I166" s="11" t="n"/>
      <c r="J166" s="11" t="n"/>
      <c r="K166" s="11" t="n"/>
      <c r="L166" s="12" t="n"/>
      <c r="M166" s="12" t="n"/>
      <c r="N166" s="11" t="n"/>
    </row>
    <row r="167">
      <c r="A167" s="10" t="n"/>
      <c r="B167" s="11" t="n"/>
      <c r="C167" s="12" t="n"/>
      <c r="D167" s="11" t="n"/>
      <c r="E167" s="13">
        <f>IF($A167="","",IFERROR(TEXTJOIN(CHAR(10),TRUE,FILTER('Learning Objectives'!$D$2:$D$500,'Learning Objectives'!$A$2:$A$500="6–7 Years",'Learning Objectives'!$B$2:$B$500=$A167)),""))</f>
        <v/>
      </c>
      <c r="F167" s="11" t="n"/>
      <c r="G167" s="12" t="n"/>
      <c r="H167" s="12" t="n"/>
      <c r="I167" s="11" t="n"/>
      <c r="J167" s="11" t="n"/>
      <c r="K167" s="11" t="n"/>
      <c r="L167" s="12" t="n"/>
      <c r="M167" s="12" t="n"/>
      <c r="N167" s="11" t="n"/>
    </row>
    <row r="168">
      <c r="A168" s="10" t="n"/>
      <c r="B168" s="11" t="n"/>
      <c r="C168" s="12" t="n"/>
      <c r="D168" s="11" t="n"/>
      <c r="E168" s="13">
        <f>IF($A168="","",IFERROR(TEXTJOIN(CHAR(10),TRUE,FILTER('Learning Objectives'!$D$2:$D$500,'Learning Objectives'!$A$2:$A$500="6–7 Years",'Learning Objectives'!$B$2:$B$500=$A168)),""))</f>
        <v/>
      </c>
      <c r="F168" s="11" t="n"/>
      <c r="G168" s="12" t="n"/>
      <c r="H168" s="12" t="n"/>
      <c r="I168" s="11" t="n"/>
      <c r="J168" s="11" t="n"/>
      <c r="K168" s="11" t="n"/>
      <c r="L168" s="12" t="n"/>
      <c r="M168" s="12" t="n"/>
      <c r="N168" s="11" t="n"/>
    </row>
    <row r="169">
      <c r="A169" s="10" t="n"/>
      <c r="B169" s="11" t="n"/>
      <c r="C169" s="12" t="n"/>
      <c r="D169" s="11" t="n"/>
      <c r="E169" s="13">
        <f>IF($A169="","",IFERROR(TEXTJOIN(CHAR(10),TRUE,FILTER('Learning Objectives'!$D$2:$D$500,'Learning Objectives'!$A$2:$A$500="6–7 Years",'Learning Objectives'!$B$2:$B$500=$A169)),""))</f>
        <v/>
      </c>
      <c r="F169" s="11" t="n"/>
      <c r="G169" s="12" t="n"/>
      <c r="H169" s="12" t="n"/>
      <c r="I169" s="11" t="n"/>
      <c r="J169" s="11" t="n"/>
      <c r="K169" s="11" t="n"/>
      <c r="L169" s="12" t="n"/>
      <c r="M169" s="12" t="n"/>
      <c r="N169" s="11" t="n"/>
    </row>
    <row r="170">
      <c r="A170" s="10" t="n"/>
      <c r="B170" s="11" t="n"/>
      <c r="C170" s="12" t="n"/>
      <c r="D170" s="11" t="n"/>
      <c r="E170" s="13">
        <f>IF($A170="","",IFERROR(TEXTJOIN(CHAR(10),TRUE,FILTER('Learning Objectives'!$D$2:$D$500,'Learning Objectives'!$A$2:$A$500="6–7 Years",'Learning Objectives'!$B$2:$B$500=$A170)),""))</f>
        <v/>
      </c>
      <c r="F170" s="11" t="n"/>
      <c r="G170" s="12" t="n"/>
      <c r="H170" s="12" t="n"/>
      <c r="I170" s="11" t="n"/>
      <c r="J170" s="11" t="n"/>
      <c r="K170" s="11" t="n"/>
      <c r="L170" s="12" t="n"/>
      <c r="M170" s="12" t="n"/>
      <c r="N170" s="11" t="n"/>
    </row>
    <row r="171">
      <c r="A171" s="10" t="n"/>
      <c r="B171" s="11" t="n"/>
      <c r="C171" s="12" t="n"/>
      <c r="D171" s="11" t="n"/>
      <c r="E171" s="13">
        <f>IF($A171="","",IFERROR(TEXTJOIN(CHAR(10),TRUE,FILTER('Learning Objectives'!$D$2:$D$500,'Learning Objectives'!$A$2:$A$500="6–7 Years",'Learning Objectives'!$B$2:$B$500=$A171)),""))</f>
        <v/>
      </c>
      <c r="F171" s="11" t="n"/>
      <c r="G171" s="12" t="n"/>
      <c r="H171" s="12" t="n"/>
      <c r="I171" s="11" t="n"/>
      <c r="J171" s="11" t="n"/>
      <c r="K171" s="11" t="n"/>
      <c r="L171" s="12" t="n"/>
      <c r="M171" s="12" t="n"/>
      <c r="N171" s="11" t="n"/>
    </row>
    <row r="172">
      <c r="A172" s="10" t="n"/>
      <c r="B172" s="11" t="n"/>
      <c r="C172" s="12" t="n"/>
      <c r="D172" s="11" t="n"/>
      <c r="E172" s="13">
        <f>IF($A172="","",IFERROR(TEXTJOIN(CHAR(10),TRUE,FILTER('Learning Objectives'!$D$2:$D$500,'Learning Objectives'!$A$2:$A$500="6–7 Years",'Learning Objectives'!$B$2:$B$500=$A172)),""))</f>
        <v/>
      </c>
      <c r="F172" s="11" t="n"/>
      <c r="G172" s="12" t="n"/>
      <c r="H172" s="12" t="n"/>
      <c r="I172" s="11" t="n"/>
      <c r="J172" s="11" t="n"/>
      <c r="K172" s="11" t="n"/>
      <c r="L172" s="12" t="n"/>
      <c r="M172" s="12" t="n"/>
      <c r="N172" s="11" t="n"/>
    </row>
    <row r="173">
      <c r="A173" s="10" t="n"/>
      <c r="B173" s="11" t="n"/>
      <c r="C173" s="12" t="n"/>
      <c r="D173" s="11" t="n"/>
      <c r="E173" s="13">
        <f>IF($A173="","",IFERROR(TEXTJOIN(CHAR(10),TRUE,FILTER('Learning Objectives'!$D$2:$D$500,'Learning Objectives'!$A$2:$A$500="6–7 Years",'Learning Objectives'!$B$2:$B$500=$A173)),""))</f>
        <v/>
      </c>
      <c r="F173" s="11" t="n"/>
      <c r="G173" s="12" t="n"/>
      <c r="H173" s="12" t="n"/>
      <c r="I173" s="11" t="n"/>
      <c r="J173" s="11" t="n"/>
      <c r="K173" s="11" t="n"/>
      <c r="L173" s="12" t="n"/>
      <c r="M173" s="12" t="n"/>
      <c r="N173" s="11" t="n"/>
    </row>
    <row r="174">
      <c r="A174" s="10" t="n"/>
      <c r="B174" s="11" t="n"/>
      <c r="C174" s="12" t="n"/>
      <c r="D174" s="11" t="n"/>
      <c r="E174" s="13">
        <f>IF($A174="","",IFERROR(TEXTJOIN(CHAR(10),TRUE,FILTER('Learning Objectives'!$D$2:$D$500,'Learning Objectives'!$A$2:$A$500="6–7 Years",'Learning Objectives'!$B$2:$B$500=$A174)),""))</f>
        <v/>
      </c>
      <c r="F174" s="11" t="n"/>
      <c r="G174" s="12" t="n"/>
      <c r="H174" s="12" t="n"/>
      <c r="I174" s="11" t="n"/>
      <c r="J174" s="11" t="n"/>
      <c r="K174" s="11" t="n"/>
      <c r="L174" s="12" t="n"/>
      <c r="M174" s="12" t="n"/>
      <c r="N174" s="11" t="n"/>
    </row>
    <row r="175">
      <c r="A175" s="10" t="n"/>
      <c r="B175" s="11" t="n"/>
      <c r="C175" s="12" t="n"/>
      <c r="D175" s="11" t="n"/>
      <c r="E175" s="13">
        <f>IF($A175="","",IFERROR(TEXTJOIN(CHAR(10),TRUE,FILTER('Learning Objectives'!$D$2:$D$500,'Learning Objectives'!$A$2:$A$500="6–7 Years",'Learning Objectives'!$B$2:$B$500=$A175)),""))</f>
        <v/>
      </c>
      <c r="F175" s="11" t="n"/>
      <c r="G175" s="12" t="n"/>
      <c r="H175" s="12" t="n"/>
      <c r="I175" s="11" t="n"/>
      <c r="J175" s="11" t="n"/>
      <c r="K175" s="11" t="n"/>
      <c r="L175" s="12" t="n"/>
      <c r="M175" s="12" t="n"/>
      <c r="N175" s="11" t="n"/>
    </row>
    <row r="176">
      <c r="A176" s="10" t="n"/>
      <c r="B176" s="11" t="n"/>
      <c r="C176" s="12" t="n"/>
      <c r="D176" s="11" t="n"/>
      <c r="E176" s="13">
        <f>IF($A176="","",IFERROR(TEXTJOIN(CHAR(10),TRUE,FILTER('Learning Objectives'!$D$2:$D$500,'Learning Objectives'!$A$2:$A$500="6–7 Years",'Learning Objectives'!$B$2:$B$500=$A176)),""))</f>
        <v/>
      </c>
      <c r="F176" s="11" t="n"/>
      <c r="G176" s="12" t="n"/>
      <c r="H176" s="12" t="n"/>
      <c r="I176" s="11" t="n"/>
      <c r="J176" s="11" t="n"/>
      <c r="K176" s="11" t="n"/>
      <c r="L176" s="12" t="n"/>
      <c r="M176" s="12" t="n"/>
      <c r="N176" s="11" t="n"/>
    </row>
    <row r="177">
      <c r="A177" s="10" t="n"/>
      <c r="B177" s="11" t="n"/>
      <c r="C177" s="12" t="n"/>
      <c r="D177" s="11" t="n"/>
      <c r="E177" s="13">
        <f>IF($A177="","",IFERROR(TEXTJOIN(CHAR(10),TRUE,FILTER('Learning Objectives'!$D$2:$D$500,'Learning Objectives'!$A$2:$A$500="6–7 Years",'Learning Objectives'!$B$2:$B$500=$A177)),""))</f>
        <v/>
      </c>
      <c r="F177" s="11" t="n"/>
      <c r="G177" s="12" t="n"/>
      <c r="H177" s="12" t="n"/>
      <c r="I177" s="11" t="n"/>
      <c r="J177" s="11" t="n"/>
      <c r="K177" s="11" t="n"/>
      <c r="L177" s="12" t="n"/>
      <c r="M177" s="12" t="n"/>
      <c r="N177" s="11" t="n"/>
    </row>
    <row r="178">
      <c r="A178" s="10" t="n"/>
      <c r="B178" s="11" t="n"/>
      <c r="C178" s="12" t="n"/>
      <c r="D178" s="11" t="n"/>
      <c r="E178" s="13">
        <f>IF($A178="","",IFERROR(TEXTJOIN(CHAR(10),TRUE,FILTER('Learning Objectives'!$D$2:$D$500,'Learning Objectives'!$A$2:$A$500="6–7 Years",'Learning Objectives'!$B$2:$B$500=$A178)),""))</f>
        <v/>
      </c>
      <c r="F178" s="11" t="n"/>
      <c r="G178" s="12" t="n"/>
      <c r="H178" s="12" t="n"/>
      <c r="I178" s="11" t="n"/>
      <c r="J178" s="11" t="n"/>
      <c r="K178" s="11" t="n"/>
      <c r="L178" s="12" t="n"/>
      <c r="M178" s="12" t="n"/>
      <c r="N178" s="11" t="n"/>
    </row>
    <row r="179">
      <c r="A179" s="10" t="n"/>
      <c r="B179" s="11" t="n"/>
      <c r="C179" s="12" t="n"/>
      <c r="D179" s="11" t="n"/>
      <c r="E179" s="13">
        <f>IF($A179="","",IFERROR(TEXTJOIN(CHAR(10),TRUE,FILTER('Learning Objectives'!$D$2:$D$500,'Learning Objectives'!$A$2:$A$500="6–7 Years",'Learning Objectives'!$B$2:$B$500=$A179)),""))</f>
        <v/>
      </c>
      <c r="F179" s="11" t="n"/>
      <c r="G179" s="12" t="n"/>
      <c r="H179" s="12" t="n"/>
      <c r="I179" s="11" t="n"/>
      <c r="J179" s="11" t="n"/>
      <c r="K179" s="11" t="n"/>
      <c r="L179" s="12" t="n"/>
      <c r="M179" s="12" t="n"/>
      <c r="N179" s="11" t="n"/>
    </row>
    <row r="180">
      <c r="A180" s="10" t="n"/>
      <c r="B180" s="11" t="n"/>
      <c r="C180" s="12" t="n"/>
      <c r="D180" s="11" t="n"/>
      <c r="E180" s="13">
        <f>IF($A180="","",IFERROR(TEXTJOIN(CHAR(10),TRUE,FILTER('Learning Objectives'!$D$2:$D$500,'Learning Objectives'!$A$2:$A$500="6–7 Years",'Learning Objectives'!$B$2:$B$500=$A180)),""))</f>
        <v/>
      </c>
      <c r="F180" s="11" t="n"/>
      <c r="G180" s="12" t="n"/>
      <c r="H180" s="12" t="n"/>
      <c r="I180" s="11" t="n"/>
      <c r="J180" s="11" t="n"/>
      <c r="K180" s="11" t="n"/>
      <c r="L180" s="12" t="n"/>
      <c r="M180" s="12" t="n"/>
      <c r="N180" s="11" t="n"/>
    </row>
    <row r="181">
      <c r="A181" s="10" t="n"/>
      <c r="B181" s="11" t="n"/>
      <c r="C181" s="12" t="n"/>
      <c r="D181" s="11" t="n"/>
      <c r="E181" s="13">
        <f>IF($A181="","",IFERROR(TEXTJOIN(CHAR(10),TRUE,FILTER('Learning Objectives'!$D$2:$D$500,'Learning Objectives'!$A$2:$A$500="6–7 Years",'Learning Objectives'!$B$2:$B$500=$A181)),""))</f>
        <v/>
      </c>
      <c r="F181" s="11" t="n"/>
      <c r="G181" s="12" t="n"/>
      <c r="H181" s="12" t="n"/>
      <c r="I181" s="11" t="n"/>
      <c r="J181" s="11" t="n"/>
      <c r="K181" s="11" t="n"/>
      <c r="L181" s="12" t="n"/>
      <c r="M181" s="12" t="n"/>
      <c r="N181" s="11" t="n"/>
    </row>
    <row r="182">
      <c r="A182" s="10" t="n"/>
      <c r="B182" s="11" t="n"/>
      <c r="C182" s="12" t="n"/>
      <c r="D182" s="11" t="n"/>
      <c r="E182" s="13">
        <f>IF($A182="","",IFERROR(TEXTJOIN(CHAR(10),TRUE,FILTER('Learning Objectives'!$D$2:$D$500,'Learning Objectives'!$A$2:$A$500="6–7 Years",'Learning Objectives'!$B$2:$B$500=$A182)),""))</f>
        <v/>
      </c>
      <c r="F182" s="11" t="n"/>
      <c r="G182" s="12" t="n"/>
      <c r="H182" s="12" t="n"/>
      <c r="I182" s="11" t="n"/>
      <c r="J182" s="11" t="n"/>
      <c r="K182" s="11" t="n"/>
      <c r="L182" s="12" t="n"/>
      <c r="M182" s="12" t="n"/>
      <c r="N182" s="11" t="n"/>
    </row>
    <row r="183">
      <c r="A183" s="10" t="n"/>
      <c r="B183" s="11" t="n"/>
      <c r="C183" s="12" t="n"/>
      <c r="D183" s="11" t="n"/>
      <c r="E183" s="13">
        <f>IF($A183="","",IFERROR(TEXTJOIN(CHAR(10),TRUE,FILTER('Learning Objectives'!$D$2:$D$500,'Learning Objectives'!$A$2:$A$500="6–7 Years",'Learning Objectives'!$B$2:$B$500=$A183)),""))</f>
        <v/>
      </c>
      <c r="F183" s="11" t="n"/>
      <c r="G183" s="12" t="n"/>
      <c r="H183" s="12" t="n"/>
      <c r="I183" s="11" t="n"/>
      <c r="J183" s="11" t="n"/>
      <c r="K183" s="11" t="n"/>
      <c r="L183" s="12" t="n"/>
      <c r="M183" s="12" t="n"/>
      <c r="N183" s="11" t="n"/>
    </row>
    <row r="184">
      <c r="A184" s="10" t="n"/>
      <c r="B184" s="11" t="n"/>
      <c r="C184" s="12" t="n"/>
      <c r="D184" s="11" t="n"/>
      <c r="E184" s="13">
        <f>IF($A184="","",IFERROR(TEXTJOIN(CHAR(10),TRUE,FILTER('Learning Objectives'!$D$2:$D$500,'Learning Objectives'!$A$2:$A$500="6–7 Years",'Learning Objectives'!$B$2:$B$500=$A184)),""))</f>
        <v/>
      </c>
      <c r="F184" s="11" t="n"/>
      <c r="G184" s="12" t="n"/>
      <c r="H184" s="12" t="n"/>
      <c r="I184" s="11" t="n"/>
      <c r="J184" s="11" t="n"/>
      <c r="K184" s="11" t="n"/>
      <c r="L184" s="12" t="n"/>
      <c r="M184" s="12" t="n"/>
      <c r="N184" s="11" t="n"/>
    </row>
    <row r="185">
      <c r="A185" s="10" t="n"/>
      <c r="B185" s="11" t="n"/>
      <c r="C185" s="12" t="n"/>
      <c r="D185" s="11" t="n"/>
      <c r="E185" s="13">
        <f>IF($A185="","",IFERROR(TEXTJOIN(CHAR(10),TRUE,FILTER('Learning Objectives'!$D$2:$D$500,'Learning Objectives'!$A$2:$A$500="6–7 Years",'Learning Objectives'!$B$2:$B$500=$A185)),""))</f>
        <v/>
      </c>
      <c r="F185" s="11" t="n"/>
      <c r="G185" s="12" t="n"/>
      <c r="H185" s="12" t="n"/>
      <c r="I185" s="11" t="n"/>
      <c r="J185" s="11" t="n"/>
      <c r="K185" s="11" t="n"/>
      <c r="L185" s="12" t="n"/>
      <c r="M185" s="12" t="n"/>
      <c r="N185" s="11" t="n"/>
    </row>
    <row r="186">
      <c r="A186" s="10" t="n"/>
      <c r="B186" s="11" t="n"/>
      <c r="C186" s="12" t="n"/>
      <c r="D186" s="11" t="n"/>
      <c r="E186" s="13">
        <f>IF($A186="","",IFERROR(TEXTJOIN(CHAR(10),TRUE,FILTER('Learning Objectives'!$D$2:$D$500,'Learning Objectives'!$A$2:$A$500="6–7 Years",'Learning Objectives'!$B$2:$B$500=$A186)),""))</f>
        <v/>
      </c>
      <c r="F186" s="11" t="n"/>
      <c r="G186" s="12" t="n"/>
      <c r="H186" s="12" t="n"/>
      <c r="I186" s="11" t="n"/>
      <c r="J186" s="11" t="n"/>
      <c r="K186" s="11" t="n"/>
      <c r="L186" s="12" t="n"/>
      <c r="M186" s="12" t="n"/>
      <c r="N186" s="11" t="n"/>
    </row>
    <row r="187">
      <c r="A187" s="10" t="n"/>
      <c r="B187" s="11" t="n"/>
      <c r="C187" s="12" t="n"/>
      <c r="D187" s="11" t="n"/>
      <c r="E187" s="13">
        <f>IF($A187="","",IFERROR(TEXTJOIN(CHAR(10),TRUE,FILTER('Learning Objectives'!$D$2:$D$500,'Learning Objectives'!$A$2:$A$500="6–7 Years",'Learning Objectives'!$B$2:$B$500=$A187)),""))</f>
        <v/>
      </c>
      <c r="F187" s="11" t="n"/>
      <c r="G187" s="12" t="n"/>
      <c r="H187" s="12" t="n"/>
      <c r="I187" s="11" t="n"/>
      <c r="J187" s="11" t="n"/>
      <c r="K187" s="11" t="n"/>
      <c r="L187" s="12" t="n"/>
      <c r="M187" s="12" t="n"/>
      <c r="N187" s="11" t="n"/>
    </row>
    <row r="188">
      <c r="A188" s="10" t="n"/>
      <c r="B188" s="11" t="n"/>
      <c r="C188" s="12" t="n"/>
      <c r="D188" s="11" t="n"/>
      <c r="E188" s="13">
        <f>IF($A188="","",IFERROR(TEXTJOIN(CHAR(10),TRUE,FILTER('Learning Objectives'!$D$2:$D$500,'Learning Objectives'!$A$2:$A$500="6–7 Years",'Learning Objectives'!$B$2:$B$500=$A188)),""))</f>
        <v/>
      </c>
      <c r="F188" s="11" t="n"/>
      <c r="G188" s="12" t="n"/>
      <c r="H188" s="12" t="n"/>
      <c r="I188" s="11" t="n"/>
      <c r="J188" s="11" t="n"/>
      <c r="K188" s="11" t="n"/>
      <c r="L188" s="12" t="n"/>
      <c r="M188" s="12" t="n"/>
      <c r="N188" s="11" t="n"/>
    </row>
    <row r="189">
      <c r="A189" s="10" t="n"/>
      <c r="B189" s="11" t="n"/>
      <c r="C189" s="12" t="n"/>
      <c r="D189" s="11" t="n"/>
      <c r="E189" s="13">
        <f>IF($A189="","",IFERROR(TEXTJOIN(CHAR(10),TRUE,FILTER('Learning Objectives'!$D$2:$D$500,'Learning Objectives'!$A$2:$A$500="6–7 Years",'Learning Objectives'!$B$2:$B$500=$A189)),""))</f>
        <v/>
      </c>
      <c r="F189" s="11" t="n"/>
      <c r="G189" s="12" t="n"/>
      <c r="H189" s="12" t="n"/>
      <c r="I189" s="11" t="n"/>
      <c r="J189" s="11" t="n"/>
      <c r="K189" s="11" t="n"/>
      <c r="L189" s="12" t="n"/>
      <c r="M189" s="12" t="n"/>
      <c r="N189" s="11" t="n"/>
    </row>
    <row r="190">
      <c r="A190" s="10" t="n"/>
      <c r="B190" s="11" t="n"/>
      <c r="C190" s="12" t="n"/>
      <c r="D190" s="11" t="n"/>
      <c r="E190" s="13">
        <f>IF($A190="","",IFERROR(TEXTJOIN(CHAR(10),TRUE,FILTER('Learning Objectives'!$D$2:$D$500,'Learning Objectives'!$A$2:$A$500="6–7 Years",'Learning Objectives'!$B$2:$B$500=$A190)),""))</f>
        <v/>
      </c>
      <c r="F190" s="11" t="n"/>
      <c r="G190" s="12" t="n"/>
      <c r="H190" s="12" t="n"/>
      <c r="I190" s="11" t="n"/>
      <c r="J190" s="11" t="n"/>
      <c r="K190" s="11" t="n"/>
      <c r="L190" s="12" t="n"/>
      <c r="M190" s="12" t="n"/>
      <c r="N190" s="11" t="n"/>
    </row>
    <row r="191">
      <c r="A191" s="10" t="n"/>
      <c r="B191" s="11" t="n"/>
      <c r="C191" s="12" t="n"/>
      <c r="D191" s="11" t="n"/>
      <c r="E191" s="13">
        <f>IF($A191="","",IFERROR(TEXTJOIN(CHAR(10),TRUE,FILTER('Learning Objectives'!$D$2:$D$500,'Learning Objectives'!$A$2:$A$500="6–7 Years",'Learning Objectives'!$B$2:$B$500=$A191)),""))</f>
        <v/>
      </c>
      <c r="F191" s="11" t="n"/>
      <c r="G191" s="12" t="n"/>
      <c r="H191" s="12" t="n"/>
      <c r="I191" s="11" t="n"/>
      <c r="J191" s="11" t="n"/>
      <c r="K191" s="11" t="n"/>
      <c r="L191" s="12" t="n"/>
      <c r="M191" s="12" t="n"/>
      <c r="N191" s="11" t="n"/>
    </row>
    <row r="192">
      <c r="A192" s="10" t="n"/>
      <c r="B192" s="11" t="n"/>
      <c r="C192" s="12" t="n"/>
      <c r="D192" s="11" t="n"/>
      <c r="E192" s="13">
        <f>IF($A192="","",IFERROR(TEXTJOIN(CHAR(10),TRUE,FILTER('Learning Objectives'!$D$2:$D$500,'Learning Objectives'!$A$2:$A$500="6–7 Years",'Learning Objectives'!$B$2:$B$500=$A192)),""))</f>
        <v/>
      </c>
      <c r="F192" s="11" t="n"/>
      <c r="G192" s="12" t="n"/>
      <c r="H192" s="12" t="n"/>
      <c r="I192" s="11" t="n"/>
      <c r="J192" s="11" t="n"/>
      <c r="K192" s="11" t="n"/>
      <c r="L192" s="12" t="n"/>
      <c r="M192" s="12" t="n"/>
      <c r="N192" s="11" t="n"/>
    </row>
    <row r="193">
      <c r="A193" s="10" t="n"/>
      <c r="B193" s="11" t="n"/>
      <c r="C193" s="12" t="n"/>
      <c r="D193" s="11" t="n"/>
      <c r="E193" s="13">
        <f>IF($A193="","",IFERROR(TEXTJOIN(CHAR(10),TRUE,FILTER('Learning Objectives'!$D$2:$D$500,'Learning Objectives'!$A$2:$A$500="6–7 Years",'Learning Objectives'!$B$2:$B$500=$A193)),""))</f>
        <v/>
      </c>
      <c r="F193" s="11" t="n"/>
      <c r="G193" s="12" t="n"/>
      <c r="H193" s="12" t="n"/>
      <c r="I193" s="11" t="n"/>
      <c r="J193" s="11" t="n"/>
      <c r="K193" s="11" t="n"/>
      <c r="L193" s="12" t="n"/>
      <c r="M193" s="12" t="n"/>
      <c r="N193" s="11" t="n"/>
    </row>
    <row r="194">
      <c r="A194" s="10" t="n"/>
      <c r="B194" s="11" t="n"/>
      <c r="C194" s="12" t="n"/>
      <c r="D194" s="11" t="n"/>
      <c r="E194" s="13">
        <f>IF($A194="","",IFERROR(TEXTJOIN(CHAR(10),TRUE,FILTER('Learning Objectives'!$D$2:$D$500,'Learning Objectives'!$A$2:$A$500="6–7 Years",'Learning Objectives'!$B$2:$B$500=$A194)),""))</f>
        <v/>
      </c>
      <c r="F194" s="11" t="n"/>
      <c r="G194" s="12" t="n"/>
      <c r="H194" s="12" t="n"/>
      <c r="I194" s="11" t="n"/>
      <c r="J194" s="11" t="n"/>
      <c r="K194" s="11" t="n"/>
      <c r="L194" s="12" t="n"/>
      <c r="M194" s="12" t="n"/>
      <c r="N194" s="11" t="n"/>
    </row>
    <row r="195">
      <c r="A195" s="10" t="n"/>
      <c r="B195" s="11" t="n"/>
      <c r="C195" s="12" t="n"/>
      <c r="D195" s="11" t="n"/>
      <c r="E195" s="13">
        <f>IF($A195="","",IFERROR(TEXTJOIN(CHAR(10),TRUE,FILTER('Learning Objectives'!$D$2:$D$500,'Learning Objectives'!$A$2:$A$500="6–7 Years",'Learning Objectives'!$B$2:$B$500=$A195)),""))</f>
        <v/>
      </c>
      <c r="F195" s="11" t="n"/>
      <c r="G195" s="12" t="n"/>
      <c r="H195" s="12" t="n"/>
      <c r="I195" s="11" t="n"/>
      <c r="J195" s="11" t="n"/>
      <c r="K195" s="11" t="n"/>
      <c r="L195" s="12" t="n"/>
      <c r="M195" s="12" t="n"/>
      <c r="N195" s="11" t="n"/>
    </row>
    <row r="196">
      <c r="A196" s="10" t="n"/>
      <c r="B196" s="11" t="n"/>
      <c r="C196" s="12" t="n"/>
      <c r="D196" s="11" t="n"/>
      <c r="E196" s="13">
        <f>IF($A196="","",IFERROR(TEXTJOIN(CHAR(10),TRUE,FILTER('Learning Objectives'!$D$2:$D$500,'Learning Objectives'!$A$2:$A$500="6–7 Years",'Learning Objectives'!$B$2:$B$500=$A196)),""))</f>
        <v/>
      </c>
      <c r="F196" s="11" t="n"/>
      <c r="G196" s="12" t="n"/>
      <c r="H196" s="12" t="n"/>
      <c r="I196" s="11" t="n"/>
      <c r="J196" s="11" t="n"/>
      <c r="K196" s="11" t="n"/>
      <c r="L196" s="12" t="n"/>
      <c r="M196" s="12" t="n"/>
      <c r="N196" s="11" t="n"/>
    </row>
    <row r="197">
      <c r="A197" s="10" t="n"/>
      <c r="B197" s="11" t="n"/>
      <c r="C197" s="12" t="n"/>
      <c r="D197" s="11" t="n"/>
      <c r="E197" s="13">
        <f>IF($A197="","",IFERROR(TEXTJOIN(CHAR(10),TRUE,FILTER('Learning Objectives'!$D$2:$D$500,'Learning Objectives'!$A$2:$A$500="6–7 Years",'Learning Objectives'!$B$2:$B$500=$A197)),""))</f>
        <v/>
      </c>
      <c r="F197" s="11" t="n"/>
      <c r="G197" s="12" t="n"/>
      <c r="H197" s="12" t="n"/>
      <c r="I197" s="11" t="n"/>
      <c r="J197" s="11" t="n"/>
      <c r="K197" s="11" t="n"/>
      <c r="L197" s="12" t="n"/>
      <c r="M197" s="12" t="n"/>
      <c r="N197" s="11" t="n"/>
    </row>
    <row r="198">
      <c r="A198" s="10" t="n"/>
      <c r="B198" s="11" t="n"/>
      <c r="C198" s="12" t="n"/>
      <c r="D198" s="11" t="n"/>
      <c r="E198" s="13">
        <f>IF($A198="","",IFERROR(TEXTJOIN(CHAR(10),TRUE,FILTER('Learning Objectives'!$D$2:$D$500,'Learning Objectives'!$A$2:$A$500="6–7 Years",'Learning Objectives'!$B$2:$B$500=$A198)),""))</f>
        <v/>
      </c>
      <c r="F198" s="11" t="n"/>
      <c r="G198" s="12" t="n"/>
      <c r="H198" s="12" t="n"/>
      <c r="I198" s="11" t="n"/>
      <c r="J198" s="11" t="n"/>
      <c r="K198" s="11" t="n"/>
      <c r="L198" s="12" t="n"/>
      <c r="M198" s="12" t="n"/>
      <c r="N198" s="11" t="n"/>
    </row>
    <row r="199">
      <c r="A199" s="10" t="n"/>
      <c r="B199" s="11" t="n"/>
      <c r="C199" s="12" t="n"/>
      <c r="D199" s="11" t="n"/>
      <c r="E199" s="13">
        <f>IF($A199="","",IFERROR(TEXTJOIN(CHAR(10),TRUE,FILTER('Learning Objectives'!$D$2:$D$500,'Learning Objectives'!$A$2:$A$500="6–7 Years",'Learning Objectives'!$B$2:$B$500=$A199)),""))</f>
        <v/>
      </c>
      <c r="F199" s="11" t="n"/>
      <c r="G199" s="12" t="n"/>
      <c r="H199" s="12" t="n"/>
      <c r="I199" s="11" t="n"/>
      <c r="J199" s="11" t="n"/>
      <c r="K199" s="11" t="n"/>
      <c r="L199" s="12" t="n"/>
      <c r="M199" s="12" t="n"/>
      <c r="N199" s="11" t="n"/>
    </row>
    <row r="200">
      <c r="A200" s="10" t="n"/>
      <c r="B200" s="11" t="n"/>
      <c r="C200" s="12" t="n"/>
      <c r="D200" s="11" t="n"/>
      <c r="E200" s="13">
        <f>IF($A200="","",IFERROR(TEXTJOIN(CHAR(10),TRUE,FILTER('Learning Objectives'!$D$2:$D$500,'Learning Objectives'!$A$2:$A$500="6–7 Years",'Learning Objectives'!$B$2:$B$500=$A200)),""))</f>
        <v/>
      </c>
      <c r="F200" s="11" t="n"/>
      <c r="G200" s="12" t="n"/>
      <c r="H200" s="12" t="n"/>
      <c r="I200" s="11" t="n"/>
      <c r="J200" s="11" t="n"/>
      <c r="K200" s="11" t="n"/>
      <c r="L200" s="12" t="n"/>
      <c r="M200" s="12" t="n"/>
      <c r="N200" s="11" t="n"/>
    </row>
    <row r="201">
      <c r="A201" s="10" t="n"/>
      <c r="B201" s="11" t="n"/>
      <c r="C201" s="12" t="n"/>
      <c r="D201" s="11" t="n"/>
      <c r="E201" s="13">
        <f>IF($A201="","",IFERROR(TEXTJOIN(CHAR(10),TRUE,FILTER('Learning Objectives'!$D$2:$D$500,'Learning Objectives'!$A$2:$A$500="6–7 Years",'Learning Objectives'!$B$2:$B$500=$A201)),""))</f>
        <v/>
      </c>
      <c r="F201" s="11" t="n"/>
      <c r="G201" s="12" t="n"/>
      <c r="H201" s="12" t="n"/>
      <c r="I201" s="11" t="n"/>
      <c r="J201" s="11" t="n"/>
      <c r="K201" s="11" t="n"/>
      <c r="L201" s="12" t="n"/>
      <c r="M201" s="12" t="n"/>
      <c r="N201" s="11" t="n"/>
    </row>
  </sheetData>
  <autoFilter ref="A1:N1"/>
  <dataValidations count="2">
    <dataValidation sqref="K2:K201" showDropDown="0" showInputMessage="0" showErrorMessage="0" allowBlank="1" error="Pick one of the listed values." type="list">
      <formula1>"Pick the right one,Match things together,Put things in order,Explore and find"</formula1>
    </dataValidation>
    <dataValidation sqref="M2:M201" showDropDown="0" showInputMessage="0" showErrorMessage="1" allowBlank="1" error="Pick one of the listed values." type="list">
      <formula1>"Draft,Ready for Review,Published"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18" customWidth="1" min="3" max="3"/>
    <col width="62" customWidth="1" min="4" max="4"/>
    <col width="42" customWidth="1" min="5" max="5"/>
    <col width="38" customWidth="1" min="6" max="6"/>
    <col width="20" customWidth="1" min="7" max="7"/>
    <col width="26" customWidth="1" min="8" max="8"/>
    <col width="38" customWidth="1" min="9" max="9"/>
    <col width="38" customWidth="1" min="10" max="10"/>
    <col width="30" customWidth="1" min="11" max="11"/>
    <col width="18" customWidth="1" min="12" max="12"/>
    <col width="18" customWidth="1" min="13" max="13"/>
    <col width="40" customWidth="1" min="14" max="14"/>
  </cols>
  <sheetData>
    <row r="1" ht="42" customHeight="1">
      <c r="A1" s="9" t="inlineStr">
        <is>
          <t>Chapter</t>
        </is>
      </c>
      <c r="B1" s="9" t="inlineStr">
        <is>
          <t>Title</t>
        </is>
      </c>
      <c r="C1" s="9" t="inlineStr">
        <is>
          <t>Bible Reference</t>
        </is>
      </c>
      <c r="D1" s="9" t="inlineStr">
        <is>
          <t>Curriculum</t>
        </is>
      </c>
      <c r="E1" s="9" t="inlineStr">
        <is>
          <t>Learning Objectives</t>
        </is>
      </c>
      <c r="F1" s="9" t="inlineStr">
        <is>
          <t>Memory Verse</t>
        </is>
      </c>
      <c r="G1" s="9" t="inlineStr">
        <is>
          <t>Memory Verse Reference</t>
        </is>
      </c>
      <c r="H1" s="9" t="inlineStr">
        <is>
          <t>Video</t>
        </is>
      </c>
      <c r="I1" s="9" t="inlineStr">
        <is>
          <t>Take Home</t>
        </is>
      </c>
      <c r="J1" s="9" t="inlineStr">
        <is>
          <t>Suggested Story Approach</t>
        </is>
      </c>
      <c r="K1" s="9" t="inlineStr">
        <is>
          <t>Suggested Game Approach</t>
        </is>
      </c>
      <c r="L1" s="9" t="inlineStr">
        <is>
          <t>Contributor</t>
        </is>
      </c>
      <c r="M1" s="9" t="inlineStr">
        <is>
          <t>Status</t>
        </is>
      </c>
      <c r="N1" s="9" t="inlineStr">
        <is>
          <t>Notes</t>
        </is>
      </c>
    </row>
    <row r="2">
      <c r="A2" s="10" t="n"/>
      <c r="B2" s="11" t="n"/>
      <c r="C2" s="12" t="n"/>
      <c r="D2" s="11" t="n"/>
      <c r="E2" s="13">
        <f>IF($A2="","",IFERROR(TEXTJOIN(CHAR(10),TRUE,FILTER('Learning Objectives'!$D$2:$D$500,'Learning Objectives'!$A$2:$A$500="8–10 Years",'Learning Objectives'!$B$2:$B$500=$A2)),""))</f>
        <v/>
      </c>
      <c r="F2" s="11" t="n"/>
      <c r="G2" s="12" t="n"/>
      <c r="H2" s="12" t="n"/>
      <c r="I2" s="11" t="n"/>
      <c r="J2" s="11" t="n"/>
      <c r="K2" s="11" t="n"/>
      <c r="L2" s="12" t="n"/>
      <c r="M2" s="12" t="n"/>
      <c r="N2" s="11" t="n"/>
    </row>
    <row r="3">
      <c r="A3" s="10" t="n"/>
      <c r="B3" s="11" t="n"/>
      <c r="C3" s="12" t="n"/>
      <c r="D3" s="11" t="n"/>
      <c r="E3" s="13">
        <f>IF($A3="","",IFERROR(TEXTJOIN(CHAR(10),TRUE,FILTER('Learning Objectives'!$D$2:$D$500,'Learning Objectives'!$A$2:$A$500="8–10 Years",'Learning Objectives'!$B$2:$B$500=$A3)),""))</f>
        <v/>
      </c>
      <c r="F3" s="11" t="n"/>
      <c r="G3" s="12" t="n"/>
      <c r="H3" s="12" t="n"/>
      <c r="I3" s="11" t="n"/>
      <c r="J3" s="11" t="n"/>
      <c r="K3" s="11" t="n"/>
      <c r="L3" s="12" t="n"/>
      <c r="M3" s="12" t="n"/>
      <c r="N3" s="11" t="n"/>
    </row>
    <row r="4">
      <c r="A4" s="10" t="n"/>
      <c r="B4" s="11" t="n"/>
      <c r="C4" s="12" t="n"/>
      <c r="D4" s="11" t="n"/>
      <c r="E4" s="13">
        <f>IF($A4="","",IFERROR(TEXTJOIN(CHAR(10),TRUE,FILTER('Learning Objectives'!$D$2:$D$500,'Learning Objectives'!$A$2:$A$500="8–10 Years",'Learning Objectives'!$B$2:$B$500=$A4)),""))</f>
        <v/>
      </c>
      <c r="F4" s="11" t="n"/>
      <c r="G4" s="12" t="n"/>
      <c r="H4" s="12" t="n"/>
      <c r="I4" s="11" t="n"/>
      <c r="J4" s="11" t="n"/>
      <c r="K4" s="11" t="n"/>
      <c r="L4" s="12" t="n"/>
      <c r="M4" s="12" t="n"/>
      <c r="N4" s="11" t="n"/>
    </row>
    <row r="5">
      <c r="A5" s="10" t="n"/>
      <c r="B5" s="11" t="n"/>
      <c r="C5" s="12" t="n"/>
      <c r="D5" s="11" t="n"/>
      <c r="E5" s="13">
        <f>IF($A5="","",IFERROR(TEXTJOIN(CHAR(10),TRUE,FILTER('Learning Objectives'!$D$2:$D$500,'Learning Objectives'!$A$2:$A$500="8–10 Years",'Learning Objectives'!$B$2:$B$500=$A5)),""))</f>
        <v/>
      </c>
      <c r="F5" s="11" t="n"/>
      <c r="G5" s="12" t="n"/>
      <c r="H5" s="12" t="n"/>
      <c r="I5" s="11" t="n"/>
      <c r="J5" s="11" t="n"/>
      <c r="K5" s="11" t="n"/>
      <c r="L5" s="12" t="n"/>
      <c r="M5" s="12" t="n"/>
      <c r="N5" s="11" t="n"/>
    </row>
    <row r="6">
      <c r="A6" s="10" t="n"/>
      <c r="B6" s="11" t="n"/>
      <c r="C6" s="12" t="n"/>
      <c r="D6" s="11" t="n"/>
      <c r="E6" s="13">
        <f>IF($A6="","",IFERROR(TEXTJOIN(CHAR(10),TRUE,FILTER('Learning Objectives'!$D$2:$D$500,'Learning Objectives'!$A$2:$A$500="8–10 Years",'Learning Objectives'!$B$2:$B$500=$A6)),""))</f>
        <v/>
      </c>
      <c r="F6" s="11" t="n"/>
      <c r="G6" s="12" t="n"/>
      <c r="H6" s="12" t="n"/>
      <c r="I6" s="11" t="n"/>
      <c r="J6" s="11" t="n"/>
      <c r="K6" s="11" t="n"/>
      <c r="L6" s="12" t="n"/>
      <c r="M6" s="12" t="n"/>
      <c r="N6" s="11" t="n"/>
    </row>
    <row r="7">
      <c r="A7" s="10" t="n"/>
      <c r="B7" s="11" t="n"/>
      <c r="C7" s="12" t="n"/>
      <c r="D7" s="11" t="n"/>
      <c r="E7" s="13">
        <f>IF($A7="","",IFERROR(TEXTJOIN(CHAR(10),TRUE,FILTER('Learning Objectives'!$D$2:$D$500,'Learning Objectives'!$A$2:$A$500="8–10 Years",'Learning Objectives'!$B$2:$B$500=$A7)),""))</f>
        <v/>
      </c>
      <c r="F7" s="11" t="n"/>
      <c r="G7" s="12" t="n"/>
      <c r="H7" s="12" t="n"/>
      <c r="I7" s="11" t="n"/>
      <c r="J7" s="11" t="n"/>
      <c r="K7" s="11" t="n"/>
      <c r="L7" s="12" t="n"/>
      <c r="M7" s="12" t="n"/>
      <c r="N7" s="11" t="n"/>
    </row>
    <row r="8">
      <c r="A8" s="10" t="n"/>
      <c r="B8" s="11" t="n"/>
      <c r="C8" s="12" t="n"/>
      <c r="D8" s="11" t="n"/>
      <c r="E8" s="13">
        <f>IF($A8="","",IFERROR(TEXTJOIN(CHAR(10),TRUE,FILTER('Learning Objectives'!$D$2:$D$500,'Learning Objectives'!$A$2:$A$500="8–10 Years",'Learning Objectives'!$B$2:$B$500=$A8)),""))</f>
        <v/>
      </c>
      <c r="F8" s="11" t="n"/>
      <c r="G8" s="12" t="n"/>
      <c r="H8" s="12" t="n"/>
      <c r="I8" s="11" t="n"/>
      <c r="J8" s="11" t="n"/>
      <c r="K8" s="11" t="n"/>
      <c r="L8" s="12" t="n"/>
      <c r="M8" s="12" t="n"/>
      <c r="N8" s="11" t="n"/>
    </row>
    <row r="9">
      <c r="A9" s="10" t="n"/>
      <c r="B9" s="11" t="n"/>
      <c r="C9" s="12" t="n"/>
      <c r="D9" s="11" t="n"/>
      <c r="E9" s="13">
        <f>IF($A9="","",IFERROR(TEXTJOIN(CHAR(10),TRUE,FILTER('Learning Objectives'!$D$2:$D$500,'Learning Objectives'!$A$2:$A$500="8–10 Years",'Learning Objectives'!$B$2:$B$500=$A9)),""))</f>
        <v/>
      </c>
      <c r="F9" s="11" t="n"/>
      <c r="G9" s="12" t="n"/>
      <c r="H9" s="12" t="n"/>
      <c r="I9" s="11" t="n"/>
      <c r="J9" s="11" t="n"/>
      <c r="K9" s="11" t="n"/>
      <c r="L9" s="12" t="n"/>
      <c r="M9" s="12" t="n"/>
      <c r="N9" s="11" t="n"/>
    </row>
    <row r="10">
      <c r="A10" s="10" t="n"/>
      <c r="B10" s="11" t="n"/>
      <c r="C10" s="12" t="n"/>
      <c r="D10" s="11" t="n"/>
      <c r="E10" s="13">
        <f>IF($A10="","",IFERROR(TEXTJOIN(CHAR(10),TRUE,FILTER('Learning Objectives'!$D$2:$D$500,'Learning Objectives'!$A$2:$A$500="8–10 Years",'Learning Objectives'!$B$2:$B$500=$A10)),""))</f>
        <v/>
      </c>
      <c r="F10" s="11" t="n"/>
      <c r="G10" s="12" t="n"/>
      <c r="H10" s="12" t="n"/>
      <c r="I10" s="11" t="n"/>
      <c r="J10" s="11" t="n"/>
      <c r="K10" s="11" t="n"/>
      <c r="L10" s="12" t="n"/>
      <c r="M10" s="12" t="n"/>
      <c r="N10" s="11" t="n"/>
    </row>
    <row r="11">
      <c r="A11" s="10" t="n"/>
      <c r="B11" s="11" t="n"/>
      <c r="C11" s="12" t="n"/>
      <c r="D11" s="11" t="n"/>
      <c r="E11" s="13">
        <f>IF($A11="","",IFERROR(TEXTJOIN(CHAR(10),TRUE,FILTER('Learning Objectives'!$D$2:$D$500,'Learning Objectives'!$A$2:$A$500="8–10 Years",'Learning Objectives'!$B$2:$B$500=$A11)),""))</f>
        <v/>
      </c>
      <c r="F11" s="11" t="n"/>
      <c r="G11" s="12" t="n"/>
      <c r="H11" s="12" t="n"/>
      <c r="I11" s="11" t="n"/>
      <c r="J11" s="11" t="n"/>
      <c r="K11" s="11" t="n"/>
      <c r="L11" s="12" t="n"/>
      <c r="M11" s="12" t="n"/>
      <c r="N11" s="11" t="n"/>
    </row>
    <row r="12">
      <c r="A12" s="10" t="n"/>
      <c r="B12" s="11" t="n"/>
      <c r="C12" s="12" t="n"/>
      <c r="D12" s="11" t="n"/>
      <c r="E12" s="13">
        <f>IF($A12="","",IFERROR(TEXTJOIN(CHAR(10),TRUE,FILTER('Learning Objectives'!$D$2:$D$500,'Learning Objectives'!$A$2:$A$500="8–10 Years",'Learning Objectives'!$B$2:$B$500=$A12)),""))</f>
        <v/>
      </c>
      <c r="F12" s="11" t="n"/>
      <c r="G12" s="12" t="n"/>
      <c r="H12" s="12" t="n"/>
      <c r="I12" s="11" t="n"/>
      <c r="J12" s="11" t="n"/>
      <c r="K12" s="11" t="n"/>
      <c r="L12" s="12" t="n"/>
      <c r="M12" s="12" t="n"/>
      <c r="N12" s="11" t="n"/>
    </row>
    <row r="13">
      <c r="A13" s="10" t="n"/>
      <c r="B13" s="11" t="n"/>
      <c r="C13" s="12" t="n"/>
      <c r="D13" s="11" t="n"/>
      <c r="E13" s="13">
        <f>IF($A13="","",IFERROR(TEXTJOIN(CHAR(10),TRUE,FILTER('Learning Objectives'!$D$2:$D$500,'Learning Objectives'!$A$2:$A$500="8–10 Years",'Learning Objectives'!$B$2:$B$500=$A13)),""))</f>
        <v/>
      </c>
      <c r="F13" s="11" t="n"/>
      <c r="G13" s="12" t="n"/>
      <c r="H13" s="12" t="n"/>
      <c r="I13" s="11" t="n"/>
      <c r="J13" s="11" t="n"/>
      <c r="K13" s="11" t="n"/>
      <c r="L13" s="12" t="n"/>
      <c r="M13" s="12" t="n"/>
      <c r="N13" s="11" t="n"/>
    </row>
    <row r="14">
      <c r="A14" s="10" t="n"/>
      <c r="B14" s="11" t="n"/>
      <c r="C14" s="12" t="n"/>
      <c r="D14" s="11" t="n"/>
      <c r="E14" s="13">
        <f>IF($A14="","",IFERROR(TEXTJOIN(CHAR(10),TRUE,FILTER('Learning Objectives'!$D$2:$D$500,'Learning Objectives'!$A$2:$A$500="8–10 Years",'Learning Objectives'!$B$2:$B$500=$A14)),""))</f>
        <v/>
      </c>
      <c r="F14" s="11" t="n"/>
      <c r="G14" s="12" t="n"/>
      <c r="H14" s="12" t="n"/>
      <c r="I14" s="11" t="n"/>
      <c r="J14" s="11" t="n"/>
      <c r="K14" s="11" t="n"/>
      <c r="L14" s="12" t="n"/>
      <c r="M14" s="12" t="n"/>
      <c r="N14" s="11" t="n"/>
    </row>
    <row r="15">
      <c r="A15" s="10" t="n"/>
      <c r="B15" s="11" t="n"/>
      <c r="C15" s="12" t="n"/>
      <c r="D15" s="11" t="n"/>
      <c r="E15" s="13">
        <f>IF($A15="","",IFERROR(TEXTJOIN(CHAR(10),TRUE,FILTER('Learning Objectives'!$D$2:$D$500,'Learning Objectives'!$A$2:$A$500="8–10 Years",'Learning Objectives'!$B$2:$B$500=$A15)),""))</f>
        <v/>
      </c>
      <c r="F15" s="11" t="n"/>
      <c r="G15" s="12" t="n"/>
      <c r="H15" s="12" t="n"/>
      <c r="I15" s="11" t="n"/>
      <c r="J15" s="11" t="n"/>
      <c r="K15" s="11" t="n"/>
      <c r="L15" s="12" t="n"/>
      <c r="M15" s="12" t="n"/>
      <c r="N15" s="11" t="n"/>
    </row>
    <row r="16">
      <c r="A16" s="10" t="n"/>
      <c r="B16" s="11" t="n"/>
      <c r="C16" s="12" t="n"/>
      <c r="D16" s="11" t="n"/>
      <c r="E16" s="13">
        <f>IF($A16="","",IFERROR(TEXTJOIN(CHAR(10),TRUE,FILTER('Learning Objectives'!$D$2:$D$500,'Learning Objectives'!$A$2:$A$500="8–10 Years",'Learning Objectives'!$B$2:$B$500=$A16)),""))</f>
        <v/>
      </c>
      <c r="F16" s="11" t="n"/>
      <c r="G16" s="12" t="n"/>
      <c r="H16" s="12" t="n"/>
      <c r="I16" s="11" t="n"/>
      <c r="J16" s="11" t="n"/>
      <c r="K16" s="11" t="n"/>
      <c r="L16" s="12" t="n"/>
      <c r="M16" s="12" t="n"/>
      <c r="N16" s="11" t="n"/>
    </row>
    <row r="17">
      <c r="A17" s="10" t="n"/>
      <c r="B17" s="11" t="n"/>
      <c r="C17" s="12" t="n"/>
      <c r="D17" s="11" t="n"/>
      <c r="E17" s="13">
        <f>IF($A17="","",IFERROR(TEXTJOIN(CHAR(10),TRUE,FILTER('Learning Objectives'!$D$2:$D$500,'Learning Objectives'!$A$2:$A$500="8–10 Years",'Learning Objectives'!$B$2:$B$500=$A17)),""))</f>
        <v/>
      </c>
      <c r="F17" s="11" t="n"/>
      <c r="G17" s="12" t="n"/>
      <c r="H17" s="12" t="n"/>
      <c r="I17" s="11" t="n"/>
      <c r="J17" s="11" t="n"/>
      <c r="K17" s="11" t="n"/>
      <c r="L17" s="12" t="n"/>
      <c r="M17" s="12" t="n"/>
      <c r="N17" s="11" t="n"/>
    </row>
    <row r="18">
      <c r="A18" s="10" t="n"/>
      <c r="B18" s="11" t="n"/>
      <c r="C18" s="12" t="n"/>
      <c r="D18" s="11" t="n"/>
      <c r="E18" s="13">
        <f>IF($A18="","",IFERROR(TEXTJOIN(CHAR(10),TRUE,FILTER('Learning Objectives'!$D$2:$D$500,'Learning Objectives'!$A$2:$A$500="8–10 Years",'Learning Objectives'!$B$2:$B$500=$A18)),""))</f>
        <v/>
      </c>
      <c r="F18" s="11" t="n"/>
      <c r="G18" s="12" t="n"/>
      <c r="H18" s="12" t="n"/>
      <c r="I18" s="11" t="n"/>
      <c r="J18" s="11" t="n"/>
      <c r="K18" s="11" t="n"/>
      <c r="L18" s="12" t="n"/>
      <c r="M18" s="12" t="n"/>
      <c r="N18" s="11" t="n"/>
    </row>
    <row r="19">
      <c r="A19" s="10" t="n"/>
      <c r="B19" s="11" t="n"/>
      <c r="C19" s="12" t="n"/>
      <c r="D19" s="11" t="n"/>
      <c r="E19" s="13">
        <f>IF($A19="","",IFERROR(TEXTJOIN(CHAR(10),TRUE,FILTER('Learning Objectives'!$D$2:$D$500,'Learning Objectives'!$A$2:$A$500="8–10 Years",'Learning Objectives'!$B$2:$B$500=$A19)),""))</f>
        <v/>
      </c>
      <c r="F19" s="11" t="n"/>
      <c r="G19" s="12" t="n"/>
      <c r="H19" s="12" t="n"/>
      <c r="I19" s="11" t="n"/>
      <c r="J19" s="11" t="n"/>
      <c r="K19" s="11" t="n"/>
      <c r="L19" s="12" t="n"/>
      <c r="M19" s="12" t="n"/>
      <c r="N19" s="11" t="n"/>
    </row>
    <row r="20">
      <c r="A20" s="10" t="n"/>
      <c r="B20" s="11" t="n"/>
      <c r="C20" s="12" t="n"/>
      <c r="D20" s="11" t="n"/>
      <c r="E20" s="13">
        <f>IF($A20="","",IFERROR(TEXTJOIN(CHAR(10),TRUE,FILTER('Learning Objectives'!$D$2:$D$500,'Learning Objectives'!$A$2:$A$500="8–10 Years",'Learning Objectives'!$B$2:$B$500=$A20)),""))</f>
        <v/>
      </c>
      <c r="F20" s="11" t="n"/>
      <c r="G20" s="12" t="n"/>
      <c r="H20" s="12" t="n"/>
      <c r="I20" s="11" t="n"/>
      <c r="J20" s="11" t="n"/>
      <c r="K20" s="11" t="n"/>
      <c r="L20" s="12" t="n"/>
      <c r="M20" s="12" t="n"/>
      <c r="N20" s="11" t="n"/>
    </row>
    <row r="21">
      <c r="A21" s="10" t="n"/>
      <c r="B21" s="11" t="n"/>
      <c r="C21" s="12" t="n"/>
      <c r="D21" s="11" t="n"/>
      <c r="E21" s="13">
        <f>IF($A21="","",IFERROR(TEXTJOIN(CHAR(10),TRUE,FILTER('Learning Objectives'!$D$2:$D$500,'Learning Objectives'!$A$2:$A$500="8–10 Years",'Learning Objectives'!$B$2:$B$500=$A21)),""))</f>
        <v/>
      </c>
      <c r="F21" s="11" t="n"/>
      <c r="G21" s="12" t="n"/>
      <c r="H21" s="12" t="n"/>
      <c r="I21" s="11" t="n"/>
      <c r="J21" s="11" t="n"/>
      <c r="K21" s="11" t="n"/>
      <c r="L21" s="12" t="n"/>
      <c r="M21" s="12" t="n"/>
      <c r="N21" s="11" t="n"/>
    </row>
    <row r="22">
      <c r="A22" s="10" t="n"/>
      <c r="B22" s="11" t="n"/>
      <c r="C22" s="12" t="n"/>
      <c r="D22" s="11" t="n"/>
      <c r="E22" s="13">
        <f>IF($A22="","",IFERROR(TEXTJOIN(CHAR(10),TRUE,FILTER('Learning Objectives'!$D$2:$D$500,'Learning Objectives'!$A$2:$A$500="8–10 Years",'Learning Objectives'!$B$2:$B$500=$A22)),""))</f>
        <v/>
      </c>
      <c r="F22" s="11" t="n"/>
      <c r="G22" s="12" t="n"/>
      <c r="H22" s="12" t="n"/>
      <c r="I22" s="11" t="n"/>
      <c r="J22" s="11" t="n"/>
      <c r="K22" s="11" t="n"/>
      <c r="L22" s="12" t="n"/>
      <c r="M22" s="12" t="n"/>
      <c r="N22" s="11" t="n"/>
    </row>
    <row r="23">
      <c r="A23" s="10" t="n"/>
      <c r="B23" s="11" t="n"/>
      <c r="C23" s="12" t="n"/>
      <c r="D23" s="11" t="n"/>
      <c r="E23" s="13">
        <f>IF($A23="","",IFERROR(TEXTJOIN(CHAR(10),TRUE,FILTER('Learning Objectives'!$D$2:$D$500,'Learning Objectives'!$A$2:$A$500="8–10 Years",'Learning Objectives'!$B$2:$B$500=$A23)),""))</f>
        <v/>
      </c>
      <c r="F23" s="11" t="n"/>
      <c r="G23" s="12" t="n"/>
      <c r="H23" s="12" t="n"/>
      <c r="I23" s="11" t="n"/>
      <c r="J23" s="11" t="n"/>
      <c r="K23" s="11" t="n"/>
      <c r="L23" s="12" t="n"/>
      <c r="M23" s="12" t="n"/>
      <c r="N23" s="11" t="n"/>
    </row>
    <row r="24">
      <c r="A24" s="10" t="n"/>
      <c r="B24" s="11" t="n"/>
      <c r="C24" s="12" t="n"/>
      <c r="D24" s="11" t="n"/>
      <c r="E24" s="13">
        <f>IF($A24="","",IFERROR(TEXTJOIN(CHAR(10),TRUE,FILTER('Learning Objectives'!$D$2:$D$500,'Learning Objectives'!$A$2:$A$500="8–10 Years",'Learning Objectives'!$B$2:$B$500=$A24)),""))</f>
        <v/>
      </c>
      <c r="F24" s="11" t="n"/>
      <c r="G24" s="12" t="n"/>
      <c r="H24" s="12" t="n"/>
      <c r="I24" s="11" t="n"/>
      <c r="J24" s="11" t="n"/>
      <c r="K24" s="11" t="n"/>
      <c r="L24" s="12" t="n"/>
      <c r="M24" s="12" t="n"/>
      <c r="N24" s="11" t="n"/>
    </row>
    <row r="25">
      <c r="A25" s="10" t="n"/>
      <c r="B25" s="11" t="n"/>
      <c r="C25" s="12" t="n"/>
      <c r="D25" s="11" t="n"/>
      <c r="E25" s="13">
        <f>IF($A25="","",IFERROR(TEXTJOIN(CHAR(10),TRUE,FILTER('Learning Objectives'!$D$2:$D$500,'Learning Objectives'!$A$2:$A$500="8–10 Years",'Learning Objectives'!$B$2:$B$500=$A25)),""))</f>
        <v/>
      </c>
      <c r="F25" s="11" t="n"/>
      <c r="G25" s="12" t="n"/>
      <c r="H25" s="12" t="n"/>
      <c r="I25" s="11" t="n"/>
      <c r="J25" s="11" t="n"/>
      <c r="K25" s="11" t="n"/>
      <c r="L25" s="12" t="n"/>
      <c r="M25" s="12" t="n"/>
      <c r="N25" s="11" t="n"/>
    </row>
    <row r="26">
      <c r="A26" s="10" t="n"/>
      <c r="B26" s="11" t="n"/>
      <c r="C26" s="12" t="n"/>
      <c r="D26" s="11" t="n"/>
      <c r="E26" s="13">
        <f>IF($A26="","",IFERROR(TEXTJOIN(CHAR(10),TRUE,FILTER('Learning Objectives'!$D$2:$D$500,'Learning Objectives'!$A$2:$A$500="8–10 Years",'Learning Objectives'!$B$2:$B$500=$A26)),""))</f>
        <v/>
      </c>
      <c r="F26" s="11" t="n"/>
      <c r="G26" s="12" t="n"/>
      <c r="H26" s="12" t="n"/>
      <c r="I26" s="11" t="n"/>
      <c r="J26" s="11" t="n"/>
      <c r="K26" s="11" t="n"/>
      <c r="L26" s="12" t="n"/>
      <c r="M26" s="12" t="n"/>
      <c r="N26" s="11" t="n"/>
    </row>
    <row r="27">
      <c r="A27" s="10" t="n"/>
      <c r="B27" s="11" t="n"/>
      <c r="C27" s="12" t="n"/>
      <c r="D27" s="11" t="n"/>
      <c r="E27" s="13">
        <f>IF($A27="","",IFERROR(TEXTJOIN(CHAR(10),TRUE,FILTER('Learning Objectives'!$D$2:$D$500,'Learning Objectives'!$A$2:$A$500="8–10 Years",'Learning Objectives'!$B$2:$B$500=$A27)),""))</f>
        <v/>
      </c>
      <c r="F27" s="11" t="n"/>
      <c r="G27" s="12" t="n"/>
      <c r="H27" s="12" t="n"/>
      <c r="I27" s="11" t="n"/>
      <c r="J27" s="11" t="n"/>
      <c r="K27" s="11" t="n"/>
      <c r="L27" s="12" t="n"/>
      <c r="M27" s="12" t="n"/>
      <c r="N27" s="11" t="n"/>
    </row>
    <row r="28">
      <c r="A28" s="10" t="n"/>
      <c r="B28" s="11" t="n"/>
      <c r="C28" s="12" t="n"/>
      <c r="D28" s="11" t="n"/>
      <c r="E28" s="13">
        <f>IF($A28="","",IFERROR(TEXTJOIN(CHAR(10),TRUE,FILTER('Learning Objectives'!$D$2:$D$500,'Learning Objectives'!$A$2:$A$500="8–10 Years",'Learning Objectives'!$B$2:$B$500=$A28)),""))</f>
        <v/>
      </c>
      <c r="F28" s="11" t="n"/>
      <c r="G28" s="12" t="n"/>
      <c r="H28" s="12" t="n"/>
      <c r="I28" s="11" t="n"/>
      <c r="J28" s="11" t="n"/>
      <c r="K28" s="11" t="n"/>
      <c r="L28" s="12" t="n"/>
      <c r="M28" s="12" t="n"/>
      <c r="N28" s="11" t="n"/>
    </row>
    <row r="29">
      <c r="A29" s="10" t="n"/>
      <c r="B29" s="11" t="n"/>
      <c r="C29" s="12" t="n"/>
      <c r="D29" s="11" t="n"/>
      <c r="E29" s="13">
        <f>IF($A29="","",IFERROR(TEXTJOIN(CHAR(10),TRUE,FILTER('Learning Objectives'!$D$2:$D$500,'Learning Objectives'!$A$2:$A$500="8–10 Years",'Learning Objectives'!$B$2:$B$500=$A29)),""))</f>
        <v/>
      </c>
      <c r="F29" s="11" t="n"/>
      <c r="G29" s="12" t="n"/>
      <c r="H29" s="12" t="n"/>
      <c r="I29" s="11" t="n"/>
      <c r="J29" s="11" t="n"/>
      <c r="K29" s="11" t="n"/>
      <c r="L29" s="12" t="n"/>
      <c r="M29" s="12" t="n"/>
      <c r="N29" s="11" t="n"/>
    </row>
    <row r="30">
      <c r="A30" s="10" t="n"/>
      <c r="B30" s="11" t="n"/>
      <c r="C30" s="12" t="n"/>
      <c r="D30" s="11" t="n"/>
      <c r="E30" s="13">
        <f>IF($A30="","",IFERROR(TEXTJOIN(CHAR(10),TRUE,FILTER('Learning Objectives'!$D$2:$D$500,'Learning Objectives'!$A$2:$A$500="8–10 Years",'Learning Objectives'!$B$2:$B$500=$A30)),""))</f>
        <v/>
      </c>
      <c r="F30" s="11" t="n"/>
      <c r="G30" s="12" t="n"/>
      <c r="H30" s="12" t="n"/>
      <c r="I30" s="11" t="n"/>
      <c r="J30" s="11" t="n"/>
      <c r="K30" s="11" t="n"/>
      <c r="L30" s="12" t="n"/>
      <c r="M30" s="12" t="n"/>
      <c r="N30" s="11" t="n"/>
    </row>
    <row r="31">
      <c r="A31" s="10" t="n"/>
      <c r="B31" s="11" t="n"/>
      <c r="C31" s="12" t="n"/>
      <c r="D31" s="11" t="n"/>
      <c r="E31" s="13">
        <f>IF($A31="","",IFERROR(TEXTJOIN(CHAR(10),TRUE,FILTER('Learning Objectives'!$D$2:$D$500,'Learning Objectives'!$A$2:$A$500="8–10 Years",'Learning Objectives'!$B$2:$B$500=$A31)),""))</f>
        <v/>
      </c>
      <c r="F31" s="11" t="n"/>
      <c r="G31" s="12" t="n"/>
      <c r="H31" s="12" t="n"/>
      <c r="I31" s="11" t="n"/>
      <c r="J31" s="11" t="n"/>
      <c r="K31" s="11" t="n"/>
      <c r="L31" s="12" t="n"/>
      <c r="M31" s="12" t="n"/>
      <c r="N31" s="11" t="n"/>
    </row>
    <row r="32">
      <c r="A32" s="10" t="n"/>
      <c r="B32" s="11" t="n"/>
      <c r="C32" s="12" t="n"/>
      <c r="D32" s="11" t="n"/>
      <c r="E32" s="13">
        <f>IF($A32="","",IFERROR(TEXTJOIN(CHAR(10),TRUE,FILTER('Learning Objectives'!$D$2:$D$500,'Learning Objectives'!$A$2:$A$500="8–10 Years",'Learning Objectives'!$B$2:$B$500=$A32)),""))</f>
        <v/>
      </c>
      <c r="F32" s="11" t="n"/>
      <c r="G32" s="12" t="n"/>
      <c r="H32" s="12" t="n"/>
      <c r="I32" s="11" t="n"/>
      <c r="J32" s="11" t="n"/>
      <c r="K32" s="11" t="n"/>
      <c r="L32" s="12" t="n"/>
      <c r="M32" s="12" t="n"/>
      <c r="N32" s="11" t="n"/>
    </row>
    <row r="33">
      <c r="A33" s="10" t="n"/>
      <c r="B33" s="11" t="n"/>
      <c r="C33" s="12" t="n"/>
      <c r="D33" s="11" t="n"/>
      <c r="E33" s="13">
        <f>IF($A33="","",IFERROR(TEXTJOIN(CHAR(10),TRUE,FILTER('Learning Objectives'!$D$2:$D$500,'Learning Objectives'!$A$2:$A$500="8–10 Years",'Learning Objectives'!$B$2:$B$500=$A33)),""))</f>
        <v/>
      </c>
      <c r="F33" s="11" t="n"/>
      <c r="G33" s="12" t="n"/>
      <c r="H33" s="12" t="n"/>
      <c r="I33" s="11" t="n"/>
      <c r="J33" s="11" t="n"/>
      <c r="K33" s="11" t="n"/>
      <c r="L33" s="12" t="n"/>
      <c r="M33" s="12" t="n"/>
      <c r="N33" s="11" t="n"/>
    </row>
    <row r="34">
      <c r="A34" s="10" t="n"/>
      <c r="B34" s="11" t="n"/>
      <c r="C34" s="12" t="n"/>
      <c r="D34" s="11" t="n"/>
      <c r="E34" s="13">
        <f>IF($A34="","",IFERROR(TEXTJOIN(CHAR(10),TRUE,FILTER('Learning Objectives'!$D$2:$D$500,'Learning Objectives'!$A$2:$A$500="8–10 Years",'Learning Objectives'!$B$2:$B$500=$A34)),""))</f>
        <v/>
      </c>
      <c r="F34" s="11" t="n"/>
      <c r="G34" s="12" t="n"/>
      <c r="H34" s="12" t="n"/>
      <c r="I34" s="11" t="n"/>
      <c r="J34" s="11" t="n"/>
      <c r="K34" s="11" t="n"/>
      <c r="L34" s="12" t="n"/>
      <c r="M34" s="12" t="n"/>
      <c r="N34" s="11" t="n"/>
    </row>
    <row r="35">
      <c r="A35" s="10" t="n"/>
      <c r="B35" s="11" t="n"/>
      <c r="C35" s="12" t="n"/>
      <c r="D35" s="11" t="n"/>
      <c r="E35" s="13">
        <f>IF($A35="","",IFERROR(TEXTJOIN(CHAR(10),TRUE,FILTER('Learning Objectives'!$D$2:$D$500,'Learning Objectives'!$A$2:$A$500="8–10 Years",'Learning Objectives'!$B$2:$B$500=$A35)),""))</f>
        <v/>
      </c>
      <c r="F35" s="11" t="n"/>
      <c r="G35" s="12" t="n"/>
      <c r="H35" s="12" t="n"/>
      <c r="I35" s="11" t="n"/>
      <c r="J35" s="11" t="n"/>
      <c r="K35" s="11" t="n"/>
      <c r="L35" s="12" t="n"/>
      <c r="M35" s="12" t="n"/>
      <c r="N35" s="11" t="n"/>
    </row>
    <row r="36">
      <c r="A36" s="10" t="n"/>
      <c r="B36" s="11" t="n"/>
      <c r="C36" s="12" t="n"/>
      <c r="D36" s="11" t="n"/>
      <c r="E36" s="13">
        <f>IF($A36="","",IFERROR(TEXTJOIN(CHAR(10),TRUE,FILTER('Learning Objectives'!$D$2:$D$500,'Learning Objectives'!$A$2:$A$500="8–10 Years",'Learning Objectives'!$B$2:$B$500=$A36)),""))</f>
        <v/>
      </c>
      <c r="F36" s="11" t="n"/>
      <c r="G36" s="12" t="n"/>
      <c r="H36" s="12" t="n"/>
      <c r="I36" s="11" t="n"/>
      <c r="J36" s="11" t="n"/>
      <c r="K36" s="11" t="n"/>
      <c r="L36" s="12" t="n"/>
      <c r="M36" s="12" t="n"/>
      <c r="N36" s="11" t="n"/>
    </row>
    <row r="37">
      <c r="A37" s="10" t="n"/>
      <c r="B37" s="11" t="n"/>
      <c r="C37" s="12" t="n"/>
      <c r="D37" s="11" t="n"/>
      <c r="E37" s="13">
        <f>IF($A37="","",IFERROR(TEXTJOIN(CHAR(10),TRUE,FILTER('Learning Objectives'!$D$2:$D$500,'Learning Objectives'!$A$2:$A$500="8–10 Years",'Learning Objectives'!$B$2:$B$500=$A37)),""))</f>
        <v/>
      </c>
      <c r="F37" s="11" t="n"/>
      <c r="G37" s="12" t="n"/>
      <c r="H37" s="12" t="n"/>
      <c r="I37" s="11" t="n"/>
      <c r="J37" s="11" t="n"/>
      <c r="K37" s="11" t="n"/>
      <c r="L37" s="12" t="n"/>
      <c r="M37" s="12" t="n"/>
      <c r="N37" s="11" t="n"/>
    </row>
    <row r="38">
      <c r="A38" s="10" t="n"/>
      <c r="B38" s="11" t="n"/>
      <c r="C38" s="12" t="n"/>
      <c r="D38" s="11" t="n"/>
      <c r="E38" s="13">
        <f>IF($A38="","",IFERROR(TEXTJOIN(CHAR(10),TRUE,FILTER('Learning Objectives'!$D$2:$D$500,'Learning Objectives'!$A$2:$A$500="8–10 Years",'Learning Objectives'!$B$2:$B$500=$A38)),""))</f>
        <v/>
      </c>
      <c r="F38" s="11" t="n"/>
      <c r="G38" s="12" t="n"/>
      <c r="H38" s="12" t="n"/>
      <c r="I38" s="11" t="n"/>
      <c r="J38" s="11" t="n"/>
      <c r="K38" s="11" t="n"/>
      <c r="L38" s="12" t="n"/>
      <c r="M38" s="12" t="n"/>
      <c r="N38" s="11" t="n"/>
    </row>
    <row r="39">
      <c r="A39" s="10" t="n"/>
      <c r="B39" s="11" t="n"/>
      <c r="C39" s="12" t="n"/>
      <c r="D39" s="11" t="n"/>
      <c r="E39" s="13">
        <f>IF($A39="","",IFERROR(TEXTJOIN(CHAR(10),TRUE,FILTER('Learning Objectives'!$D$2:$D$500,'Learning Objectives'!$A$2:$A$500="8–10 Years",'Learning Objectives'!$B$2:$B$500=$A39)),""))</f>
        <v/>
      </c>
      <c r="F39" s="11" t="n"/>
      <c r="G39" s="12" t="n"/>
      <c r="H39" s="12" t="n"/>
      <c r="I39" s="11" t="n"/>
      <c r="J39" s="11" t="n"/>
      <c r="K39" s="11" t="n"/>
      <c r="L39" s="12" t="n"/>
      <c r="M39" s="12" t="n"/>
      <c r="N39" s="11" t="n"/>
    </row>
    <row r="40">
      <c r="A40" s="10" t="n"/>
      <c r="B40" s="11" t="n"/>
      <c r="C40" s="12" t="n"/>
      <c r="D40" s="11" t="n"/>
      <c r="E40" s="13">
        <f>IF($A40="","",IFERROR(TEXTJOIN(CHAR(10),TRUE,FILTER('Learning Objectives'!$D$2:$D$500,'Learning Objectives'!$A$2:$A$500="8–10 Years",'Learning Objectives'!$B$2:$B$500=$A40)),""))</f>
        <v/>
      </c>
      <c r="F40" s="11" t="n"/>
      <c r="G40" s="12" t="n"/>
      <c r="H40" s="12" t="n"/>
      <c r="I40" s="11" t="n"/>
      <c r="J40" s="11" t="n"/>
      <c r="K40" s="11" t="n"/>
      <c r="L40" s="12" t="n"/>
      <c r="M40" s="12" t="n"/>
      <c r="N40" s="11" t="n"/>
    </row>
    <row r="41">
      <c r="A41" s="10" t="n"/>
      <c r="B41" s="11" t="n"/>
      <c r="C41" s="12" t="n"/>
      <c r="D41" s="11" t="n"/>
      <c r="E41" s="13">
        <f>IF($A41="","",IFERROR(TEXTJOIN(CHAR(10),TRUE,FILTER('Learning Objectives'!$D$2:$D$500,'Learning Objectives'!$A$2:$A$500="8–10 Years",'Learning Objectives'!$B$2:$B$500=$A41)),""))</f>
        <v/>
      </c>
      <c r="F41" s="11" t="n"/>
      <c r="G41" s="12" t="n"/>
      <c r="H41" s="12" t="n"/>
      <c r="I41" s="11" t="n"/>
      <c r="J41" s="11" t="n"/>
      <c r="K41" s="11" t="n"/>
      <c r="L41" s="12" t="n"/>
      <c r="M41" s="12" t="n"/>
      <c r="N41" s="11" t="n"/>
    </row>
    <row r="42">
      <c r="A42" s="10" t="n"/>
      <c r="B42" s="11" t="n"/>
      <c r="C42" s="12" t="n"/>
      <c r="D42" s="11" t="n"/>
      <c r="E42" s="13">
        <f>IF($A42="","",IFERROR(TEXTJOIN(CHAR(10),TRUE,FILTER('Learning Objectives'!$D$2:$D$500,'Learning Objectives'!$A$2:$A$500="8–10 Years",'Learning Objectives'!$B$2:$B$500=$A42)),""))</f>
        <v/>
      </c>
      <c r="F42" s="11" t="n"/>
      <c r="G42" s="12" t="n"/>
      <c r="H42" s="12" t="n"/>
      <c r="I42" s="11" t="n"/>
      <c r="J42" s="11" t="n"/>
      <c r="K42" s="11" t="n"/>
      <c r="L42" s="12" t="n"/>
      <c r="M42" s="12" t="n"/>
      <c r="N42" s="11" t="n"/>
    </row>
    <row r="43">
      <c r="A43" s="10" t="n"/>
      <c r="B43" s="11" t="n"/>
      <c r="C43" s="12" t="n"/>
      <c r="D43" s="11" t="n"/>
      <c r="E43" s="13">
        <f>IF($A43="","",IFERROR(TEXTJOIN(CHAR(10),TRUE,FILTER('Learning Objectives'!$D$2:$D$500,'Learning Objectives'!$A$2:$A$500="8–10 Years",'Learning Objectives'!$B$2:$B$500=$A43)),""))</f>
        <v/>
      </c>
      <c r="F43" s="11" t="n"/>
      <c r="G43" s="12" t="n"/>
      <c r="H43" s="12" t="n"/>
      <c r="I43" s="11" t="n"/>
      <c r="J43" s="11" t="n"/>
      <c r="K43" s="11" t="n"/>
      <c r="L43" s="12" t="n"/>
      <c r="M43" s="12" t="n"/>
      <c r="N43" s="11" t="n"/>
    </row>
    <row r="44">
      <c r="A44" s="10" t="n"/>
      <c r="B44" s="11" t="n"/>
      <c r="C44" s="12" t="n"/>
      <c r="D44" s="11" t="n"/>
      <c r="E44" s="13">
        <f>IF($A44="","",IFERROR(TEXTJOIN(CHAR(10),TRUE,FILTER('Learning Objectives'!$D$2:$D$500,'Learning Objectives'!$A$2:$A$500="8–10 Years",'Learning Objectives'!$B$2:$B$500=$A44)),""))</f>
        <v/>
      </c>
      <c r="F44" s="11" t="n"/>
      <c r="G44" s="12" t="n"/>
      <c r="H44" s="12" t="n"/>
      <c r="I44" s="11" t="n"/>
      <c r="J44" s="11" t="n"/>
      <c r="K44" s="11" t="n"/>
      <c r="L44" s="12" t="n"/>
      <c r="M44" s="12" t="n"/>
      <c r="N44" s="11" t="n"/>
    </row>
    <row r="45">
      <c r="A45" s="10" t="n"/>
      <c r="B45" s="11" t="n"/>
      <c r="C45" s="12" t="n"/>
      <c r="D45" s="11" t="n"/>
      <c r="E45" s="13">
        <f>IF($A45="","",IFERROR(TEXTJOIN(CHAR(10),TRUE,FILTER('Learning Objectives'!$D$2:$D$500,'Learning Objectives'!$A$2:$A$500="8–10 Years",'Learning Objectives'!$B$2:$B$500=$A45)),""))</f>
        <v/>
      </c>
      <c r="F45" s="11" t="n"/>
      <c r="G45" s="12" t="n"/>
      <c r="H45" s="12" t="n"/>
      <c r="I45" s="11" t="n"/>
      <c r="J45" s="11" t="n"/>
      <c r="K45" s="11" t="n"/>
      <c r="L45" s="12" t="n"/>
      <c r="M45" s="12" t="n"/>
      <c r="N45" s="11" t="n"/>
    </row>
    <row r="46">
      <c r="A46" s="10" t="n"/>
      <c r="B46" s="11" t="n"/>
      <c r="C46" s="12" t="n"/>
      <c r="D46" s="11" t="n"/>
      <c r="E46" s="13">
        <f>IF($A46="","",IFERROR(TEXTJOIN(CHAR(10),TRUE,FILTER('Learning Objectives'!$D$2:$D$500,'Learning Objectives'!$A$2:$A$500="8–10 Years",'Learning Objectives'!$B$2:$B$500=$A46)),""))</f>
        <v/>
      </c>
      <c r="F46" s="11" t="n"/>
      <c r="G46" s="12" t="n"/>
      <c r="H46" s="12" t="n"/>
      <c r="I46" s="11" t="n"/>
      <c r="J46" s="11" t="n"/>
      <c r="K46" s="11" t="n"/>
      <c r="L46" s="12" t="n"/>
      <c r="M46" s="12" t="n"/>
      <c r="N46" s="11" t="n"/>
    </row>
    <row r="47">
      <c r="A47" s="10" t="n"/>
      <c r="B47" s="11" t="n"/>
      <c r="C47" s="12" t="n"/>
      <c r="D47" s="11" t="n"/>
      <c r="E47" s="13">
        <f>IF($A47="","",IFERROR(TEXTJOIN(CHAR(10),TRUE,FILTER('Learning Objectives'!$D$2:$D$500,'Learning Objectives'!$A$2:$A$500="8–10 Years",'Learning Objectives'!$B$2:$B$500=$A47)),""))</f>
        <v/>
      </c>
      <c r="F47" s="11" t="n"/>
      <c r="G47" s="12" t="n"/>
      <c r="H47" s="12" t="n"/>
      <c r="I47" s="11" t="n"/>
      <c r="J47" s="11" t="n"/>
      <c r="K47" s="11" t="n"/>
      <c r="L47" s="12" t="n"/>
      <c r="M47" s="12" t="n"/>
      <c r="N47" s="11" t="n"/>
    </row>
    <row r="48">
      <c r="A48" s="10" t="n"/>
      <c r="B48" s="11" t="n"/>
      <c r="C48" s="12" t="n"/>
      <c r="D48" s="11" t="n"/>
      <c r="E48" s="13">
        <f>IF($A48="","",IFERROR(TEXTJOIN(CHAR(10),TRUE,FILTER('Learning Objectives'!$D$2:$D$500,'Learning Objectives'!$A$2:$A$500="8–10 Years",'Learning Objectives'!$B$2:$B$500=$A48)),""))</f>
        <v/>
      </c>
      <c r="F48" s="11" t="n"/>
      <c r="G48" s="12" t="n"/>
      <c r="H48" s="12" t="n"/>
      <c r="I48" s="11" t="n"/>
      <c r="J48" s="11" t="n"/>
      <c r="K48" s="11" t="n"/>
      <c r="L48" s="12" t="n"/>
      <c r="M48" s="12" t="n"/>
      <c r="N48" s="11" t="n"/>
    </row>
    <row r="49">
      <c r="A49" s="10" t="n"/>
      <c r="B49" s="11" t="n"/>
      <c r="C49" s="12" t="n"/>
      <c r="D49" s="11" t="n"/>
      <c r="E49" s="13">
        <f>IF($A49="","",IFERROR(TEXTJOIN(CHAR(10),TRUE,FILTER('Learning Objectives'!$D$2:$D$500,'Learning Objectives'!$A$2:$A$500="8–10 Years",'Learning Objectives'!$B$2:$B$500=$A49)),""))</f>
        <v/>
      </c>
      <c r="F49" s="11" t="n"/>
      <c r="G49" s="12" t="n"/>
      <c r="H49" s="12" t="n"/>
      <c r="I49" s="11" t="n"/>
      <c r="J49" s="11" t="n"/>
      <c r="K49" s="11" t="n"/>
      <c r="L49" s="12" t="n"/>
      <c r="M49" s="12" t="n"/>
      <c r="N49" s="11" t="n"/>
    </row>
    <row r="50">
      <c r="A50" s="10" t="n"/>
      <c r="B50" s="11" t="n"/>
      <c r="C50" s="12" t="n"/>
      <c r="D50" s="11" t="n"/>
      <c r="E50" s="13">
        <f>IF($A50="","",IFERROR(TEXTJOIN(CHAR(10),TRUE,FILTER('Learning Objectives'!$D$2:$D$500,'Learning Objectives'!$A$2:$A$500="8–10 Years",'Learning Objectives'!$B$2:$B$500=$A50)),""))</f>
        <v/>
      </c>
      <c r="F50" s="11" t="n"/>
      <c r="G50" s="12" t="n"/>
      <c r="H50" s="12" t="n"/>
      <c r="I50" s="11" t="n"/>
      <c r="J50" s="11" t="n"/>
      <c r="K50" s="11" t="n"/>
      <c r="L50" s="12" t="n"/>
      <c r="M50" s="12" t="n"/>
      <c r="N50" s="11" t="n"/>
    </row>
    <row r="51">
      <c r="A51" s="10" t="n"/>
      <c r="B51" s="11" t="n"/>
      <c r="C51" s="12" t="n"/>
      <c r="D51" s="11" t="n"/>
      <c r="E51" s="13">
        <f>IF($A51="","",IFERROR(TEXTJOIN(CHAR(10),TRUE,FILTER('Learning Objectives'!$D$2:$D$500,'Learning Objectives'!$A$2:$A$500="8–10 Years",'Learning Objectives'!$B$2:$B$500=$A51)),""))</f>
        <v/>
      </c>
      <c r="F51" s="11" t="n"/>
      <c r="G51" s="12" t="n"/>
      <c r="H51" s="12" t="n"/>
      <c r="I51" s="11" t="n"/>
      <c r="J51" s="11" t="n"/>
      <c r="K51" s="11" t="n"/>
      <c r="L51" s="12" t="n"/>
      <c r="M51" s="12" t="n"/>
      <c r="N51" s="11" t="n"/>
    </row>
    <row r="52">
      <c r="A52" s="10" t="n"/>
      <c r="B52" s="11" t="n"/>
      <c r="C52" s="12" t="n"/>
      <c r="D52" s="11" t="n"/>
      <c r="E52" s="13">
        <f>IF($A52="","",IFERROR(TEXTJOIN(CHAR(10),TRUE,FILTER('Learning Objectives'!$D$2:$D$500,'Learning Objectives'!$A$2:$A$500="8–10 Years",'Learning Objectives'!$B$2:$B$500=$A52)),""))</f>
        <v/>
      </c>
      <c r="F52" s="11" t="n"/>
      <c r="G52" s="12" t="n"/>
      <c r="H52" s="12" t="n"/>
      <c r="I52" s="11" t="n"/>
      <c r="J52" s="11" t="n"/>
      <c r="K52" s="11" t="n"/>
      <c r="L52" s="12" t="n"/>
      <c r="M52" s="12" t="n"/>
      <c r="N52" s="11" t="n"/>
    </row>
    <row r="53">
      <c r="A53" s="10" t="n"/>
      <c r="B53" s="11" t="n"/>
      <c r="C53" s="12" t="n"/>
      <c r="D53" s="11" t="n"/>
      <c r="E53" s="13">
        <f>IF($A53="","",IFERROR(TEXTJOIN(CHAR(10),TRUE,FILTER('Learning Objectives'!$D$2:$D$500,'Learning Objectives'!$A$2:$A$500="8–10 Years",'Learning Objectives'!$B$2:$B$500=$A53)),""))</f>
        <v/>
      </c>
      <c r="F53" s="11" t="n"/>
      <c r="G53" s="12" t="n"/>
      <c r="H53" s="12" t="n"/>
      <c r="I53" s="11" t="n"/>
      <c r="J53" s="11" t="n"/>
      <c r="K53" s="11" t="n"/>
      <c r="L53" s="12" t="n"/>
      <c r="M53" s="12" t="n"/>
      <c r="N53" s="11" t="n"/>
    </row>
    <row r="54">
      <c r="A54" s="10" t="n"/>
      <c r="B54" s="11" t="n"/>
      <c r="C54" s="12" t="n"/>
      <c r="D54" s="11" t="n"/>
      <c r="E54" s="13">
        <f>IF($A54="","",IFERROR(TEXTJOIN(CHAR(10),TRUE,FILTER('Learning Objectives'!$D$2:$D$500,'Learning Objectives'!$A$2:$A$500="8–10 Years",'Learning Objectives'!$B$2:$B$500=$A54)),""))</f>
        <v/>
      </c>
      <c r="F54" s="11" t="n"/>
      <c r="G54" s="12" t="n"/>
      <c r="H54" s="12" t="n"/>
      <c r="I54" s="11" t="n"/>
      <c r="J54" s="11" t="n"/>
      <c r="K54" s="11" t="n"/>
      <c r="L54" s="12" t="n"/>
      <c r="M54" s="12" t="n"/>
      <c r="N54" s="11" t="n"/>
    </row>
    <row r="55">
      <c r="A55" s="10" t="n"/>
      <c r="B55" s="11" t="n"/>
      <c r="C55" s="12" t="n"/>
      <c r="D55" s="11" t="n"/>
      <c r="E55" s="13">
        <f>IF($A55="","",IFERROR(TEXTJOIN(CHAR(10),TRUE,FILTER('Learning Objectives'!$D$2:$D$500,'Learning Objectives'!$A$2:$A$500="8–10 Years",'Learning Objectives'!$B$2:$B$500=$A55)),""))</f>
        <v/>
      </c>
      <c r="F55" s="11" t="n"/>
      <c r="G55" s="12" t="n"/>
      <c r="H55" s="12" t="n"/>
      <c r="I55" s="11" t="n"/>
      <c r="J55" s="11" t="n"/>
      <c r="K55" s="11" t="n"/>
      <c r="L55" s="12" t="n"/>
      <c r="M55" s="12" t="n"/>
      <c r="N55" s="11" t="n"/>
    </row>
    <row r="56">
      <c r="A56" s="10" t="n"/>
      <c r="B56" s="11" t="n"/>
      <c r="C56" s="12" t="n"/>
      <c r="D56" s="11" t="n"/>
      <c r="E56" s="13">
        <f>IF($A56="","",IFERROR(TEXTJOIN(CHAR(10),TRUE,FILTER('Learning Objectives'!$D$2:$D$500,'Learning Objectives'!$A$2:$A$500="8–10 Years",'Learning Objectives'!$B$2:$B$500=$A56)),""))</f>
        <v/>
      </c>
      <c r="F56" s="11" t="n"/>
      <c r="G56" s="12" t="n"/>
      <c r="H56" s="12" t="n"/>
      <c r="I56" s="11" t="n"/>
      <c r="J56" s="11" t="n"/>
      <c r="K56" s="11" t="n"/>
      <c r="L56" s="12" t="n"/>
      <c r="M56" s="12" t="n"/>
      <c r="N56" s="11" t="n"/>
    </row>
    <row r="57">
      <c r="A57" s="10" t="n"/>
      <c r="B57" s="11" t="n"/>
      <c r="C57" s="12" t="n"/>
      <c r="D57" s="11" t="n"/>
      <c r="E57" s="13">
        <f>IF($A57="","",IFERROR(TEXTJOIN(CHAR(10),TRUE,FILTER('Learning Objectives'!$D$2:$D$500,'Learning Objectives'!$A$2:$A$500="8–10 Years",'Learning Objectives'!$B$2:$B$500=$A57)),""))</f>
        <v/>
      </c>
      <c r="F57" s="11" t="n"/>
      <c r="G57" s="12" t="n"/>
      <c r="H57" s="12" t="n"/>
      <c r="I57" s="11" t="n"/>
      <c r="J57" s="11" t="n"/>
      <c r="K57" s="11" t="n"/>
      <c r="L57" s="12" t="n"/>
      <c r="M57" s="12" t="n"/>
      <c r="N57" s="11" t="n"/>
    </row>
    <row r="58">
      <c r="A58" s="10" t="n"/>
      <c r="B58" s="11" t="n"/>
      <c r="C58" s="12" t="n"/>
      <c r="D58" s="11" t="n"/>
      <c r="E58" s="13">
        <f>IF($A58="","",IFERROR(TEXTJOIN(CHAR(10),TRUE,FILTER('Learning Objectives'!$D$2:$D$500,'Learning Objectives'!$A$2:$A$500="8–10 Years",'Learning Objectives'!$B$2:$B$500=$A58)),""))</f>
        <v/>
      </c>
      <c r="F58" s="11" t="n"/>
      <c r="G58" s="12" t="n"/>
      <c r="H58" s="12" t="n"/>
      <c r="I58" s="11" t="n"/>
      <c r="J58" s="11" t="n"/>
      <c r="K58" s="11" t="n"/>
      <c r="L58" s="12" t="n"/>
      <c r="M58" s="12" t="n"/>
      <c r="N58" s="11" t="n"/>
    </row>
    <row r="59">
      <c r="A59" s="10" t="n"/>
      <c r="B59" s="11" t="n"/>
      <c r="C59" s="12" t="n"/>
      <c r="D59" s="11" t="n"/>
      <c r="E59" s="13">
        <f>IF($A59="","",IFERROR(TEXTJOIN(CHAR(10),TRUE,FILTER('Learning Objectives'!$D$2:$D$500,'Learning Objectives'!$A$2:$A$500="8–10 Years",'Learning Objectives'!$B$2:$B$500=$A59)),""))</f>
        <v/>
      </c>
      <c r="F59" s="11" t="n"/>
      <c r="G59" s="12" t="n"/>
      <c r="H59" s="12" t="n"/>
      <c r="I59" s="11" t="n"/>
      <c r="J59" s="11" t="n"/>
      <c r="K59" s="11" t="n"/>
      <c r="L59" s="12" t="n"/>
      <c r="M59" s="12" t="n"/>
      <c r="N59" s="11" t="n"/>
    </row>
    <row r="60">
      <c r="A60" s="10" t="n"/>
      <c r="B60" s="11" t="n"/>
      <c r="C60" s="12" t="n"/>
      <c r="D60" s="11" t="n"/>
      <c r="E60" s="13">
        <f>IF($A60="","",IFERROR(TEXTJOIN(CHAR(10),TRUE,FILTER('Learning Objectives'!$D$2:$D$500,'Learning Objectives'!$A$2:$A$500="8–10 Years",'Learning Objectives'!$B$2:$B$500=$A60)),""))</f>
        <v/>
      </c>
      <c r="F60" s="11" t="n"/>
      <c r="G60" s="12" t="n"/>
      <c r="H60" s="12" t="n"/>
      <c r="I60" s="11" t="n"/>
      <c r="J60" s="11" t="n"/>
      <c r="K60" s="11" t="n"/>
      <c r="L60" s="12" t="n"/>
      <c r="M60" s="12" t="n"/>
      <c r="N60" s="11" t="n"/>
    </row>
    <row r="61">
      <c r="A61" s="10" t="n"/>
      <c r="B61" s="11" t="n"/>
      <c r="C61" s="12" t="n"/>
      <c r="D61" s="11" t="n"/>
      <c r="E61" s="13">
        <f>IF($A61="","",IFERROR(TEXTJOIN(CHAR(10),TRUE,FILTER('Learning Objectives'!$D$2:$D$500,'Learning Objectives'!$A$2:$A$500="8–10 Years",'Learning Objectives'!$B$2:$B$500=$A61)),""))</f>
        <v/>
      </c>
      <c r="F61" s="11" t="n"/>
      <c r="G61" s="12" t="n"/>
      <c r="H61" s="12" t="n"/>
      <c r="I61" s="11" t="n"/>
      <c r="J61" s="11" t="n"/>
      <c r="K61" s="11" t="n"/>
      <c r="L61" s="12" t="n"/>
      <c r="M61" s="12" t="n"/>
      <c r="N61" s="11" t="n"/>
    </row>
    <row r="62">
      <c r="A62" s="10" t="n"/>
      <c r="B62" s="11" t="n"/>
      <c r="C62" s="12" t="n"/>
      <c r="D62" s="11" t="n"/>
      <c r="E62" s="13">
        <f>IF($A62="","",IFERROR(TEXTJOIN(CHAR(10),TRUE,FILTER('Learning Objectives'!$D$2:$D$500,'Learning Objectives'!$A$2:$A$500="8–10 Years",'Learning Objectives'!$B$2:$B$500=$A62)),""))</f>
        <v/>
      </c>
      <c r="F62" s="11" t="n"/>
      <c r="G62" s="12" t="n"/>
      <c r="H62" s="12" t="n"/>
      <c r="I62" s="11" t="n"/>
      <c r="J62" s="11" t="n"/>
      <c r="K62" s="11" t="n"/>
      <c r="L62" s="12" t="n"/>
      <c r="M62" s="12" t="n"/>
      <c r="N62" s="11" t="n"/>
    </row>
    <row r="63">
      <c r="A63" s="10" t="n"/>
      <c r="B63" s="11" t="n"/>
      <c r="C63" s="12" t="n"/>
      <c r="D63" s="11" t="n"/>
      <c r="E63" s="13">
        <f>IF($A63="","",IFERROR(TEXTJOIN(CHAR(10),TRUE,FILTER('Learning Objectives'!$D$2:$D$500,'Learning Objectives'!$A$2:$A$500="8–10 Years",'Learning Objectives'!$B$2:$B$500=$A63)),""))</f>
        <v/>
      </c>
      <c r="F63" s="11" t="n"/>
      <c r="G63" s="12" t="n"/>
      <c r="H63" s="12" t="n"/>
      <c r="I63" s="11" t="n"/>
      <c r="J63" s="11" t="n"/>
      <c r="K63" s="11" t="n"/>
      <c r="L63" s="12" t="n"/>
      <c r="M63" s="12" t="n"/>
      <c r="N63" s="11" t="n"/>
    </row>
    <row r="64">
      <c r="A64" s="10" t="n"/>
      <c r="B64" s="11" t="n"/>
      <c r="C64" s="12" t="n"/>
      <c r="D64" s="11" t="n"/>
      <c r="E64" s="13">
        <f>IF($A64="","",IFERROR(TEXTJOIN(CHAR(10),TRUE,FILTER('Learning Objectives'!$D$2:$D$500,'Learning Objectives'!$A$2:$A$500="8–10 Years",'Learning Objectives'!$B$2:$B$500=$A64)),""))</f>
        <v/>
      </c>
      <c r="F64" s="11" t="n"/>
      <c r="G64" s="12" t="n"/>
      <c r="H64" s="12" t="n"/>
      <c r="I64" s="11" t="n"/>
      <c r="J64" s="11" t="n"/>
      <c r="K64" s="11" t="n"/>
      <c r="L64" s="12" t="n"/>
      <c r="M64" s="12" t="n"/>
      <c r="N64" s="11" t="n"/>
    </row>
    <row r="65">
      <c r="A65" s="10" t="n"/>
      <c r="B65" s="11" t="n"/>
      <c r="C65" s="12" t="n"/>
      <c r="D65" s="11" t="n"/>
      <c r="E65" s="13">
        <f>IF($A65="","",IFERROR(TEXTJOIN(CHAR(10),TRUE,FILTER('Learning Objectives'!$D$2:$D$500,'Learning Objectives'!$A$2:$A$500="8–10 Years",'Learning Objectives'!$B$2:$B$500=$A65)),""))</f>
        <v/>
      </c>
      <c r="F65" s="11" t="n"/>
      <c r="G65" s="12" t="n"/>
      <c r="H65" s="12" t="n"/>
      <c r="I65" s="11" t="n"/>
      <c r="J65" s="11" t="n"/>
      <c r="K65" s="11" t="n"/>
      <c r="L65" s="12" t="n"/>
      <c r="M65" s="12" t="n"/>
      <c r="N65" s="11" t="n"/>
    </row>
    <row r="66">
      <c r="A66" s="10" t="n"/>
      <c r="B66" s="11" t="n"/>
      <c r="C66" s="12" t="n"/>
      <c r="D66" s="11" t="n"/>
      <c r="E66" s="13">
        <f>IF($A66="","",IFERROR(TEXTJOIN(CHAR(10),TRUE,FILTER('Learning Objectives'!$D$2:$D$500,'Learning Objectives'!$A$2:$A$500="8–10 Years",'Learning Objectives'!$B$2:$B$500=$A66)),""))</f>
        <v/>
      </c>
      <c r="F66" s="11" t="n"/>
      <c r="G66" s="12" t="n"/>
      <c r="H66" s="12" t="n"/>
      <c r="I66" s="11" t="n"/>
      <c r="J66" s="11" t="n"/>
      <c r="K66" s="11" t="n"/>
      <c r="L66" s="12" t="n"/>
      <c r="M66" s="12" t="n"/>
      <c r="N66" s="11" t="n"/>
    </row>
    <row r="67">
      <c r="A67" s="10" t="n"/>
      <c r="B67" s="11" t="n"/>
      <c r="C67" s="12" t="n"/>
      <c r="D67" s="11" t="n"/>
      <c r="E67" s="13">
        <f>IF($A67="","",IFERROR(TEXTJOIN(CHAR(10),TRUE,FILTER('Learning Objectives'!$D$2:$D$500,'Learning Objectives'!$A$2:$A$500="8–10 Years",'Learning Objectives'!$B$2:$B$500=$A67)),""))</f>
        <v/>
      </c>
      <c r="F67" s="11" t="n"/>
      <c r="G67" s="12" t="n"/>
      <c r="H67" s="12" t="n"/>
      <c r="I67" s="11" t="n"/>
      <c r="J67" s="11" t="n"/>
      <c r="K67" s="11" t="n"/>
      <c r="L67" s="12" t="n"/>
      <c r="M67" s="12" t="n"/>
      <c r="N67" s="11" t="n"/>
    </row>
    <row r="68">
      <c r="A68" s="10" t="n"/>
      <c r="B68" s="11" t="n"/>
      <c r="C68" s="12" t="n"/>
      <c r="D68" s="11" t="n"/>
      <c r="E68" s="13">
        <f>IF($A68="","",IFERROR(TEXTJOIN(CHAR(10),TRUE,FILTER('Learning Objectives'!$D$2:$D$500,'Learning Objectives'!$A$2:$A$500="8–10 Years",'Learning Objectives'!$B$2:$B$500=$A68)),""))</f>
        <v/>
      </c>
      <c r="F68" s="11" t="n"/>
      <c r="G68" s="12" t="n"/>
      <c r="H68" s="12" t="n"/>
      <c r="I68" s="11" t="n"/>
      <c r="J68" s="11" t="n"/>
      <c r="K68" s="11" t="n"/>
      <c r="L68" s="12" t="n"/>
      <c r="M68" s="12" t="n"/>
      <c r="N68" s="11" t="n"/>
    </row>
    <row r="69">
      <c r="A69" s="10" t="n"/>
      <c r="B69" s="11" t="n"/>
      <c r="C69" s="12" t="n"/>
      <c r="D69" s="11" t="n"/>
      <c r="E69" s="13">
        <f>IF($A69="","",IFERROR(TEXTJOIN(CHAR(10),TRUE,FILTER('Learning Objectives'!$D$2:$D$500,'Learning Objectives'!$A$2:$A$500="8–10 Years",'Learning Objectives'!$B$2:$B$500=$A69)),""))</f>
        <v/>
      </c>
      <c r="F69" s="11" t="n"/>
      <c r="G69" s="12" t="n"/>
      <c r="H69" s="12" t="n"/>
      <c r="I69" s="11" t="n"/>
      <c r="J69" s="11" t="n"/>
      <c r="K69" s="11" t="n"/>
      <c r="L69" s="12" t="n"/>
      <c r="M69" s="12" t="n"/>
      <c r="N69" s="11" t="n"/>
    </row>
    <row r="70">
      <c r="A70" s="10" t="n"/>
      <c r="B70" s="11" t="n"/>
      <c r="C70" s="12" t="n"/>
      <c r="D70" s="11" t="n"/>
      <c r="E70" s="13">
        <f>IF($A70="","",IFERROR(TEXTJOIN(CHAR(10),TRUE,FILTER('Learning Objectives'!$D$2:$D$500,'Learning Objectives'!$A$2:$A$500="8–10 Years",'Learning Objectives'!$B$2:$B$500=$A70)),""))</f>
        <v/>
      </c>
      <c r="F70" s="11" t="n"/>
      <c r="G70" s="12" t="n"/>
      <c r="H70" s="12" t="n"/>
      <c r="I70" s="11" t="n"/>
      <c r="J70" s="11" t="n"/>
      <c r="K70" s="11" t="n"/>
      <c r="L70" s="12" t="n"/>
      <c r="M70" s="12" t="n"/>
      <c r="N70" s="11" t="n"/>
    </row>
    <row r="71">
      <c r="A71" s="10" t="n"/>
      <c r="B71" s="11" t="n"/>
      <c r="C71" s="12" t="n"/>
      <c r="D71" s="11" t="n"/>
      <c r="E71" s="13">
        <f>IF($A71="","",IFERROR(TEXTJOIN(CHAR(10),TRUE,FILTER('Learning Objectives'!$D$2:$D$500,'Learning Objectives'!$A$2:$A$500="8–10 Years",'Learning Objectives'!$B$2:$B$500=$A71)),""))</f>
        <v/>
      </c>
      <c r="F71" s="11" t="n"/>
      <c r="G71" s="12" t="n"/>
      <c r="H71" s="12" t="n"/>
      <c r="I71" s="11" t="n"/>
      <c r="J71" s="11" t="n"/>
      <c r="K71" s="11" t="n"/>
      <c r="L71" s="12" t="n"/>
      <c r="M71" s="12" t="n"/>
      <c r="N71" s="11" t="n"/>
    </row>
    <row r="72">
      <c r="A72" s="10" t="n"/>
      <c r="B72" s="11" t="n"/>
      <c r="C72" s="12" t="n"/>
      <c r="D72" s="11" t="n"/>
      <c r="E72" s="13">
        <f>IF($A72="","",IFERROR(TEXTJOIN(CHAR(10),TRUE,FILTER('Learning Objectives'!$D$2:$D$500,'Learning Objectives'!$A$2:$A$500="8–10 Years",'Learning Objectives'!$B$2:$B$500=$A72)),""))</f>
        <v/>
      </c>
      <c r="F72" s="11" t="n"/>
      <c r="G72" s="12" t="n"/>
      <c r="H72" s="12" t="n"/>
      <c r="I72" s="11" t="n"/>
      <c r="J72" s="11" t="n"/>
      <c r="K72" s="11" t="n"/>
      <c r="L72" s="12" t="n"/>
      <c r="M72" s="12" t="n"/>
      <c r="N72" s="11" t="n"/>
    </row>
    <row r="73">
      <c r="A73" s="10" t="n"/>
      <c r="B73" s="11" t="n"/>
      <c r="C73" s="12" t="n"/>
      <c r="D73" s="11" t="n"/>
      <c r="E73" s="13">
        <f>IF($A73="","",IFERROR(TEXTJOIN(CHAR(10),TRUE,FILTER('Learning Objectives'!$D$2:$D$500,'Learning Objectives'!$A$2:$A$500="8–10 Years",'Learning Objectives'!$B$2:$B$500=$A73)),""))</f>
        <v/>
      </c>
      <c r="F73" s="11" t="n"/>
      <c r="G73" s="12" t="n"/>
      <c r="H73" s="12" t="n"/>
      <c r="I73" s="11" t="n"/>
      <c r="J73" s="11" t="n"/>
      <c r="K73" s="11" t="n"/>
      <c r="L73" s="12" t="n"/>
      <c r="M73" s="12" t="n"/>
      <c r="N73" s="11" t="n"/>
    </row>
    <row r="74">
      <c r="A74" s="10" t="n"/>
      <c r="B74" s="11" t="n"/>
      <c r="C74" s="12" t="n"/>
      <c r="D74" s="11" t="n"/>
      <c r="E74" s="13">
        <f>IF($A74="","",IFERROR(TEXTJOIN(CHAR(10),TRUE,FILTER('Learning Objectives'!$D$2:$D$500,'Learning Objectives'!$A$2:$A$500="8–10 Years",'Learning Objectives'!$B$2:$B$500=$A74)),""))</f>
        <v/>
      </c>
      <c r="F74" s="11" t="n"/>
      <c r="G74" s="12" t="n"/>
      <c r="H74" s="12" t="n"/>
      <c r="I74" s="11" t="n"/>
      <c r="J74" s="11" t="n"/>
      <c r="K74" s="11" t="n"/>
      <c r="L74" s="12" t="n"/>
      <c r="M74" s="12" t="n"/>
      <c r="N74" s="11" t="n"/>
    </row>
    <row r="75">
      <c r="A75" s="10" t="n"/>
      <c r="B75" s="11" t="n"/>
      <c r="C75" s="12" t="n"/>
      <c r="D75" s="11" t="n"/>
      <c r="E75" s="13">
        <f>IF($A75="","",IFERROR(TEXTJOIN(CHAR(10),TRUE,FILTER('Learning Objectives'!$D$2:$D$500,'Learning Objectives'!$A$2:$A$500="8–10 Years",'Learning Objectives'!$B$2:$B$500=$A75)),""))</f>
        <v/>
      </c>
      <c r="F75" s="11" t="n"/>
      <c r="G75" s="12" t="n"/>
      <c r="H75" s="12" t="n"/>
      <c r="I75" s="11" t="n"/>
      <c r="J75" s="11" t="n"/>
      <c r="K75" s="11" t="n"/>
      <c r="L75" s="12" t="n"/>
      <c r="M75" s="12" t="n"/>
      <c r="N75" s="11" t="n"/>
    </row>
    <row r="76">
      <c r="A76" s="10" t="n"/>
      <c r="B76" s="11" t="n"/>
      <c r="C76" s="12" t="n"/>
      <c r="D76" s="11" t="n"/>
      <c r="E76" s="13">
        <f>IF($A76="","",IFERROR(TEXTJOIN(CHAR(10),TRUE,FILTER('Learning Objectives'!$D$2:$D$500,'Learning Objectives'!$A$2:$A$500="8–10 Years",'Learning Objectives'!$B$2:$B$500=$A76)),""))</f>
        <v/>
      </c>
      <c r="F76" s="11" t="n"/>
      <c r="G76" s="12" t="n"/>
      <c r="H76" s="12" t="n"/>
      <c r="I76" s="11" t="n"/>
      <c r="J76" s="11" t="n"/>
      <c r="K76" s="11" t="n"/>
      <c r="L76" s="12" t="n"/>
      <c r="M76" s="12" t="n"/>
      <c r="N76" s="11" t="n"/>
    </row>
    <row r="77">
      <c r="A77" s="10" t="n"/>
      <c r="B77" s="11" t="n"/>
      <c r="C77" s="12" t="n"/>
      <c r="D77" s="11" t="n"/>
      <c r="E77" s="13">
        <f>IF($A77="","",IFERROR(TEXTJOIN(CHAR(10),TRUE,FILTER('Learning Objectives'!$D$2:$D$500,'Learning Objectives'!$A$2:$A$500="8–10 Years",'Learning Objectives'!$B$2:$B$500=$A77)),""))</f>
        <v/>
      </c>
      <c r="F77" s="11" t="n"/>
      <c r="G77" s="12" t="n"/>
      <c r="H77" s="12" t="n"/>
      <c r="I77" s="11" t="n"/>
      <c r="J77" s="11" t="n"/>
      <c r="K77" s="11" t="n"/>
      <c r="L77" s="12" t="n"/>
      <c r="M77" s="12" t="n"/>
      <c r="N77" s="11" t="n"/>
    </row>
    <row r="78">
      <c r="A78" s="10" t="n"/>
      <c r="B78" s="11" t="n"/>
      <c r="C78" s="12" t="n"/>
      <c r="D78" s="11" t="n"/>
      <c r="E78" s="13">
        <f>IF($A78="","",IFERROR(TEXTJOIN(CHAR(10),TRUE,FILTER('Learning Objectives'!$D$2:$D$500,'Learning Objectives'!$A$2:$A$500="8–10 Years",'Learning Objectives'!$B$2:$B$500=$A78)),""))</f>
        <v/>
      </c>
      <c r="F78" s="11" t="n"/>
      <c r="G78" s="12" t="n"/>
      <c r="H78" s="12" t="n"/>
      <c r="I78" s="11" t="n"/>
      <c r="J78" s="11" t="n"/>
      <c r="K78" s="11" t="n"/>
      <c r="L78" s="12" t="n"/>
      <c r="M78" s="12" t="n"/>
      <c r="N78" s="11" t="n"/>
    </row>
    <row r="79">
      <c r="A79" s="10" t="n"/>
      <c r="B79" s="11" t="n"/>
      <c r="C79" s="12" t="n"/>
      <c r="D79" s="11" t="n"/>
      <c r="E79" s="13">
        <f>IF($A79="","",IFERROR(TEXTJOIN(CHAR(10),TRUE,FILTER('Learning Objectives'!$D$2:$D$500,'Learning Objectives'!$A$2:$A$500="8–10 Years",'Learning Objectives'!$B$2:$B$500=$A79)),""))</f>
        <v/>
      </c>
      <c r="F79" s="11" t="n"/>
      <c r="G79" s="12" t="n"/>
      <c r="H79" s="12" t="n"/>
      <c r="I79" s="11" t="n"/>
      <c r="J79" s="11" t="n"/>
      <c r="K79" s="11" t="n"/>
      <c r="L79" s="12" t="n"/>
      <c r="M79" s="12" t="n"/>
      <c r="N79" s="11" t="n"/>
    </row>
    <row r="80">
      <c r="A80" s="10" t="n"/>
      <c r="B80" s="11" t="n"/>
      <c r="C80" s="12" t="n"/>
      <c r="D80" s="11" t="n"/>
      <c r="E80" s="13">
        <f>IF($A80="","",IFERROR(TEXTJOIN(CHAR(10),TRUE,FILTER('Learning Objectives'!$D$2:$D$500,'Learning Objectives'!$A$2:$A$500="8–10 Years",'Learning Objectives'!$B$2:$B$500=$A80)),""))</f>
        <v/>
      </c>
      <c r="F80" s="11" t="n"/>
      <c r="G80" s="12" t="n"/>
      <c r="H80" s="12" t="n"/>
      <c r="I80" s="11" t="n"/>
      <c r="J80" s="11" t="n"/>
      <c r="K80" s="11" t="n"/>
      <c r="L80" s="12" t="n"/>
      <c r="M80" s="12" t="n"/>
      <c r="N80" s="11" t="n"/>
    </row>
    <row r="81">
      <c r="A81" s="10" t="n"/>
      <c r="B81" s="11" t="n"/>
      <c r="C81" s="12" t="n"/>
      <c r="D81" s="11" t="n"/>
      <c r="E81" s="13">
        <f>IF($A81="","",IFERROR(TEXTJOIN(CHAR(10),TRUE,FILTER('Learning Objectives'!$D$2:$D$500,'Learning Objectives'!$A$2:$A$500="8–10 Years",'Learning Objectives'!$B$2:$B$500=$A81)),""))</f>
        <v/>
      </c>
      <c r="F81" s="11" t="n"/>
      <c r="G81" s="12" t="n"/>
      <c r="H81" s="12" t="n"/>
      <c r="I81" s="11" t="n"/>
      <c r="J81" s="11" t="n"/>
      <c r="K81" s="11" t="n"/>
      <c r="L81" s="12" t="n"/>
      <c r="M81" s="12" t="n"/>
      <c r="N81" s="11" t="n"/>
    </row>
    <row r="82">
      <c r="A82" s="10" t="n"/>
      <c r="B82" s="11" t="n"/>
      <c r="C82" s="12" t="n"/>
      <c r="D82" s="11" t="n"/>
      <c r="E82" s="13">
        <f>IF($A82="","",IFERROR(TEXTJOIN(CHAR(10),TRUE,FILTER('Learning Objectives'!$D$2:$D$500,'Learning Objectives'!$A$2:$A$500="8–10 Years",'Learning Objectives'!$B$2:$B$500=$A82)),""))</f>
        <v/>
      </c>
      <c r="F82" s="11" t="n"/>
      <c r="G82" s="12" t="n"/>
      <c r="H82" s="12" t="n"/>
      <c r="I82" s="11" t="n"/>
      <c r="J82" s="11" t="n"/>
      <c r="K82" s="11" t="n"/>
      <c r="L82" s="12" t="n"/>
      <c r="M82" s="12" t="n"/>
      <c r="N82" s="11" t="n"/>
    </row>
    <row r="83">
      <c r="A83" s="10" t="n"/>
      <c r="B83" s="11" t="n"/>
      <c r="C83" s="12" t="n"/>
      <c r="D83" s="11" t="n"/>
      <c r="E83" s="13">
        <f>IF($A83="","",IFERROR(TEXTJOIN(CHAR(10),TRUE,FILTER('Learning Objectives'!$D$2:$D$500,'Learning Objectives'!$A$2:$A$500="8–10 Years",'Learning Objectives'!$B$2:$B$500=$A83)),""))</f>
        <v/>
      </c>
      <c r="F83" s="11" t="n"/>
      <c r="G83" s="12" t="n"/>
      <c r="H83" s="12" t="n"/>
      <c r="I83" s="11" t="n"/>
      <c r="J83" s="11" t="n"/>
      <c r="K83" s="11" t="n"/>
      <c r="L83" s="12" t="n"/>
      <c r="M83" s="12" t="n"/>
      <c r="N83" s="11" t="n"/>
    </row>
    <row r="84">
      <c r="A84" s="10" t="n"/>
      <c r="B84" s="11" t="n"/>
      <c r="C84" s="12" t="n"/>
      <c r="D84" s="11" t="n"/>
      <c r="E84" s="13">
        <f>IF($A84="","",IFERROR(TEXTJOIN(CHAR(10),TRUE,FILTER('Learning Objectives'!$D$2:$D$500,'Learning Objectives'!$A$2:$A$500="8–10 Years",'Learning Objectives'!$B$2:$B$500=$A84)),""))</f>
        <v/>
      </c>
      <c r="F84" s="11" t="n"/>
      <c r="G84" s="12" t="n"/>
      <c r="H84" s="12" t="n"/>
      <c r="I84" s="11" t="n"/>
      <c r="J84" s="11" t="n"/>
      <c r="K84" s="11" t="n"/>
      <c r="L84" s="12" t="n"/>
      <c r="M84" s="12" t="n"/>
      <c r="N84" s="11" t="n"/>
    </row>
    <row r="85">
      <c r="A85" s="10" t="n"/>
      <c r="B85" s="11" t="n"/>
      <c r="C85" s="12" t="n"/>
      <c r="D85" s="11" t="n"/>
      <c r="E85" s="13">
        <f>IF($A85="","",IFERROR(TEXTJOIN(CHAR(10),TRUE,FILTER('Learning Objectives'!$D$2:$D$500,'Learning Objectives'!$A$2:$A$500="8–10 Years",'Learning Objectives'!$B$2:$B$500=$A85)),""))</f>
        <v/>
      </c>
      <c r="F85" s="11" t="n"/>
      <c r="G85" s="12" t="n"/>
      <c r="H85" s="12" t="n"/>
      <c r="I85" s="11" t="n"/>
      <c r="J85" s="11" t="n"/>
      <c r="K85" s="11" t="n"/>
      <c r="L85" s="12" t="n"/>
      <c r="M85" s="12" t="n"/>
      <c r="N85" s="11" t="n"/>
    </row>
    <row r="86">
      <c r="A86" s="10" t="n"/>
      <c r="B86" s="11" t="n"/>
      <c r="C86" s="12" t="n"/>
      <c r="D86" s="11" t="n"/>
      <c r="E86" s="13">
        <f>IF($A86="","",IFERROR(TEXTJOIN(CHAR(10),TRUE,FILTER('Learning Objectives'!$D$2:$D$500,'Learning Objectives'!$A$2:$A$500="8–10 Years",'Learning Objectives'!$B$2:$B$500=$A86)),""))</f>
        <v/>
      </c>
      <c r="F86" s="11" t="n"/>
      <c r="G86" s="12" t="n"/>
      <c r="H86" s="12" t="n"/>
      <c r="I86" s="11" t="n"/>
      <c r="J86" s="11" t="n"/>
      <c r="K86" s="11" t="n"/>
      <c r="L86" s="12" t="n"/>
      <c r="M86" s="12" t="n"/>
      <c r="N86" s="11" t="n"/>
    </row>
    <row r="87">
      <c r="A87" s="10" t="n"/>
      <c r="B87" s="11" t="n"/>
      <c r="C87" s="12" t="n"/>
      <c r="D87" s="11" t="n"/>
      <c r="E87" s="13">
        <f>IF($A87="","",IFERROR(TEXTJOIN(CHAR(10),TRUE,FILTER('Learning Objectives'!$D$2:$D$500,'Learning Objectives'!$A$2:$A$500="8–10 Years",'Learning Objectives'!$B$2:$B$500=$A87)),""))</f>
        <v/>
      </c>
      <c r="F87" s="11" t="n"/>
      <c r="G87" s="12" t="n"/>
      <c r="H87" s="12" t="n"/>
      <c r="I87" s="11" t="n"/>
      <c r="J87" s="11" t="n"/>
      <c r="K87" s="11" t="n"/>
      <c r="L87" s="12" t="n"/>
      <c r="M87" s="12" t="n"/>
      <c r="N87" s="11" t="n"/>
    </row>
    <row r="88">
      <c r="A88" s="10" t="n"/>
      <c r="B88" s="11" t="n"/>
      <c r="C88" s="12" t="n"/>
      <c r="D88" s="11" t="n"/>
      <c r="E88" s="13">
        <f>IF($A88="","",IFERROR(TEXTJOIN(CHAR(10),TRUE,FILTER('Learning Objectives'!$D$2:$D$500,'Learning Objectives'!$A$2:$A$500="8–10 Years",'Learning Objectives'!$B$2:$B$500=$A88)),""))</f>
        <v/>
      </c>
      <c r="F88" s="11" t="n"/>
      <c r="G88" s="12" t="n"/>
      <c r="H88" s="12" t="n"/>
      <c r="I88" s="11" t="n"/>
      <c r="J88" s="11" t="n"/>
      <c r="K88" s="11" t="n"/>
      <c r="L88" s="12" t="n"/>
      <c r="M88" s="12" t="n"/>
      <c r="N88" s="11" t="n"/>
    </row>
    <row r="89">
      <c r="A89" s="10" t="n"/>
      <c r="B89" s="11" t="n"/>
      <c r="C89" s="12" t="n"/>
      <c r="D89" s="11" t="n"/>
      <c r="E89" s="13">
        <f>IF($A89="","",IFERROR(TEXTJOIN(CHAR(10),TRUE,FILTER('Learning Objectives'!$D$2:$D$500,'Learning Objectives'!$A$2:$A$500="8–10 Years",'Learning Objectives'!$B$2:$B$500=$A89)),""))</f>
        <v/>
      </c>
      <c r="F89" s="11" t="n"/>
      <c r="G89" s="12" t="n"/>
      <c r="H89" s="12" t="n"/>
      <c r="I89" s="11" t="n"/>
      <c r="J89" s="11" t="n"/>
      <c r="K89" s="11" t="n"/>
      <c r="L89" s="12" t="n"/>
      <c r="M89" s="12" t="n"/>
      <c r="N89" s="11" t="n"/>
    </row>
    <row r="90">
      <c r="A90" s="10" t="n"/>
      <c r="B90" s="11" t="n"/>
      <c r="C90" s="12" t="n"/>
      <c r="D90" s="11" t="n"/>
      <c r="E90" s="13">
        <f>IF($A90="","",IFERROR(TEXTJOIN(CHAR(10),TRUE,FILTER('Learning Objectives'!$D$2:$D$500,'Learning Objectives'!$A$2:$A$500="8–10 Years",'Learning Objectives'!$B$2:$B$500=$A90)),""))</f>
        <v/>
      </c>
      <c r="F90" s="11" t="n"/>
      <c r="G90" s="12" t="n"/>
      <c r="H90" s="12" t="n"/>
      <c r="I90" s="11" t="n"/>
      <c r="J90" s="11" t="n"/>
      <c r="K90" s="11" t="n"/>
      <c r="L90" s="12" t="n"/>
      <c r="M90" s="12" t="n"/>
      <c r="N90" s="11" t="n"/>
    </row>
    <row r="91">
      <c r="A91" s="10" t="n"/>
      <c r="B91" s="11" t="n"/>
      <c r="C91" s="12" t="n"/>
      <c r="D91" s="11" t="n"/>
      <c r="E91" s="13">
        <f>IF($A91="","",IFERROR(TEXTJOIN(CHAR(10),TRUE,FILTER('Learning Objectives'!$D$2:$D$500,'Learning Objectives'!$A$2:$A$500="8–10 Years",'Learning Objectives'!$B$2:$B$500=$A91)),""))</f>
        <v/>
      </c>
      <c r="F91" s="11" t="n"/>
      <c r="G91" s="12" t="n"/>
      <c r="H91" s="12" t="n"/>
      <c r="I91" s="11" t="n"/>
      <c r="J91" s="11" t="n"/>
      <c r="K91" s="11" t="n"/>
      <c r="L91" s="12" t="n"/>
      <c r="M91" s="12" t="n"/>
      <c r="N91" s="11" t="n"/>
    </row>
    <row r="92">
      <c r="A92" s="10" t="n"/>
      <c r="B92" s="11" t="n"/>
      <c r="C92" s="12" t="n"/>
      <c r="D92" s="11" t="n"/>
      <c r="E92" s="13">
        <f>IF($A92="","",IFERROR(TEXTJOIN(CHAR(10),TRUE,FILTER('Learning Objectives'!$D$2:$D$500,'Learning Objectives'!$A$2:$A$500="8–10 Years",'Learning Objectives'!$B$2:$B$500=$A92)),""))</f>
        <v/>
      </c>
      <c r="F92" s="11" t="n"/>
      <c r="G92" s="12" t="n"/>
      <c r="H92" s="12" t="n"/>
      <c r="I92" s="11" t="n"/>
      <c r="J92" s="11" t="n"/>
      <c r="K92" s="11" t="n"/>
      <c r="L92" s="12" t="n"/>
      <c r="M92" s="12" t="n"/>
      <c r="N92" s="11" t="n"/>
    </row>
    <row r="93">
      <c r="A93" s="10" t="n"/>
      <c r="B93" s="11" t="n"/>
      <c r="C93" s="12" t="n"/>
      <c r="D93" s="11" t="n"/>
      <c r="E93" s="13">
        <f>IF($A93="","",IFERROR(TEXTJOIN(CHAR(10),TRUE,FILTER('Learning Objectives'!$D$2:$D$500,'Learning Objectives'!$A$2:$A$500="8–10 Years",'Learning Objectives'!$B$2:$B$500=$A93)),""))</f>
        <v/>
      </c>
      <c r="F93" s="11" t="n"/>
      <c r="G93" s="12" t="n"/>
      <c r="H93" s="12" t="n"/>
      <c r="I93" s="11" t="n"/>
      <c r="J93" s="11" t="n"/>
      <c r="K93" s="11" t="n"/>
      <c r="L93" s="12" t="n"/>
      <c r="M93" s="12" t="n"/>
      <c r="N93" s="11" t="n"/>
    </row>
    <row r="94">
      <c r="A94" s="10" t="n"/>
      <c r="B94" s="11" t="n"/>
      <c r="C94" s="12" t="n"/>
      <c r="D94" s="11" t="n"/>
      <c r="E94" s="13">
        <f>IF($A94="","",IFERROR(TEXTJOIN(CHAR(10),TRUE,FILTER('Learning Objectives'!$D$2:$D$500,'Learning Objectives'!$A$2:$A$500="8–10 Years",'Learning Objectives'!$B$2:$B$500=$A94)),""))</f>
        <v/>
      </c>
      <c r="F94" s="11" t="n"/>
      <c r="G94" s="12" t="n"/>
      <c r="H94" s="12" t="n"/>
      <c r="I94" s="11" t="n"/>
      <c r="J94" s="11" t="n"/>
      <c r="K94" s="11" t="n"/>
      <c r="L94" s="12" t="n"/>
      <c r="M94" s="12" t="n"/>
      <c r="N94" s="11" t="n"/>
    </row>
    <row r="95">
      <c r="A95" s="10" t="n"/>
      <c r="B95" s="11" t="n"/>
      <c r="C95" s="12" t="n"/>
      <c r="D95" s="11" t="n"/>
      <c r="E95" s="13">
        <f>IF($A95="","",IFERROR(TEXTJOIN(CHAR(10),TRUE,FILTER('Learning Objectives'!$D$2:$D$500,'Learning Objectives'!$A$2:$A$500="8–10 Years",'Learning Objectives'!$B$2:$B$500=$A95)),""))</f>
        <v/>
      </c>
      <c r="F95" s="11" t="n"/>
      <c r="G95" s="12" t="n"/>
      <c r="H95" s="12" t="n"/>
      <c r="I95" s="11" t="n"/>
      <c r="J95" s="11" t="n"/>
      <c r="K95" s="11" t="n"/>
      <c r="L95" s="12" t="n"/>
      <c r="M95" s="12" t="n"/>
      <c r="N95" s="11" t="n"/>
    </row>
    <row r="96">
      <c r="A96" s="10" t="n"/>
      <c r="B96" s="11" t="n"/>
      <c r="C96" s="12" t="n"/>
      <c r="D96" s="11" t="n"/>
      <c r="E96" s="13">
        <f>IF($A96="","",IFERROR(TEXTJOIN(CHAR(10),TRUE,FILTER('Learning Objectives'!$D$2:$D$500,'Learning Objectives'!$A$2:$A$500="8–10 Years",'Learning Objectives'!$B$2:$B$500=$A96)),""))</f>
        <v/>
      </c>
      <c r="F96" s="11" t="n"/>
      <c r="G96" s="12" t="n"/>
      <c r="H96" s="12" t="n"/>
      <c r="I96" s="11" t="n"/>
      <c r="J96" s="11" t="n"/>
      <c r="K96" s="11" t="n"/>
      <c r="L96" s="12" t="n"/>
      <c r="M96" s="12" t="n"/>
      <c r="N96" s="11" t="n"/>
    </row>
    <row r="97">
      <c r="A97" s="10" t="n"/>
      <c r="B97" s="11" t="n"/>
      <c r="C97" s="12" t="n"/>
      <c r="D97" s="11" t="n"/>
      <c r="E97" s="13">
        <f>IF($A97="","",IFERROR(TEXTJOIN(CHAR(10),TRUE,FILTER('Learning Objectives'!$D$2:$D$500,'Learning Objectives'!$A$2:$A$500="8–10 Years",'Learning Objectives'!$B$2:$B$500=$A97)),""))</f>
        <v/>
      </c>
      <c r="F97" s="11" t="n"/>
      <c r="G97" s="12" t="n"/>
      <c r="H97" s="12" t="n"/>
      <c r="I97" s="11" t="n"/>
      <c r="J97" s="11" t="n"/>
      <c r="K97" s="11" t="n"/>
      <c r="L97" s="12" t="n"/>
      <c r="M97" s="12" t="n"/>
      <c r="N97" s="11" t="n"/>
    </row>
    <row r="98">
      <c r="A98" s="10" t="n"/>
      <c r="B98" s="11" t="n"/>
      <c r="C98" s="12" t="n"/>
      <c r="D98" s="11" t="n"/>
      <c r="E98" s="13">
        <f>IF($A98="","",IFERROR(TEXTJOIN(CHAR(10),TRUE,FILTER('Learning Objectives'!$D$2:$D$500,'Learning Objectives'!$A$2:$A$500="8–10 Years",'Learning Objectives'!$B$2:$B$500=$A98)),""))</f>
        <v/>
      </c>
      <c r="F98" s="11" t="n"/>
      <c r="G98" s="12" t="n"/>
      <c r="H98" s="12" t="n"/>
      <c r="I98" s="11" t="n"/>
      <c r="J98" s="11" t="n"/>
      <c r="K98" s="11" t="n"/>
      <c r="L98" s="12" t="n"/>
      <c r="M98" s="12" t="n"/>
      <c r="N98" s="11" t="n"/>
    </row>
    <row r="99">
      <c r="A99" s="10" t="n"/>
      <c r="B99" s="11" t="n"/>
      <c r="C99" s="12" t="n"/>
      <c r="D99" s="11" t="n"/>
      <c r="E99" s="13">
        <f>IF($A99="","",IFERROR(TEXTJOIN(CHAR(10),TRUE,FILTER('Learning Objectives'!$D$2:$D$500,'Learning Objectives'!$A$2:$A$500="8–10 Years",'Learning Objectives'!$B$2:$B$500=$A99)),""))</f>
        <v/>
      </c>
      <c r="F99" s="11" t="n"/>
      <c r="G99" s="12" t="n"/>
      <c r="H99" s="12" t="n"/>
      <c r="I99" s="11" t="n"/>
      <c r="J99" s="11" t="n"/>
      <c r="K99" s="11" t="n"/>
      <c r="L99" s="12" t="n"/>
      <c r="M99" s="12" t="n"/>
      <c r="N99" s="11" t="n"/>
    </row>
    <row r="100">
      <c r="A100" s="10" t="n"/>
      <c r="B100" s="11" t="n"/>
      <c r="C100" s="12" t="n"/>
      <c r="D100" s="11" t="n"/>
      <c r="E100" s="13">
        <f>IF($A100="","",IFERROR(TEXTJOIN(CHAR(10),TRUE,FILTER('Learning Objectives'!$D$2:$D$500,'Learning Objectives'!$A$2:$A$500="8–10 Years",'Learning Objectives'!$B$2:$B$500=$A100)),""))</f>
        <v/>
      </c>
      <c r="F100" s="11" t="n"/>
      <c r="G100" s="12" t="n"/>
      <c r="H100" s="12" t="n"/>
      <c r="I100" s="11" t="n"/>
      <c r="J100" s="11" t="n"/>
      <c r="K100" s="11" t="n"/>
      <c r="L100" s="12" t="n"/>
      <c r="M100" s="12" t="n"/>
      <c r="N100" s="11" t="n"/>
    </row>
    <row r="101">
      <c r="A101" s="10" t="n"/>
      <c r="B101" s="11" t="n"/>
      <c r="C101" s="12" t="n"/>
      <c r="D101" s="11" t="n"/>
      <c r="E101" s="13">
        <f>IF($A101="","",IFERROR(TEXTJOIN(CHAR(10),TRUE,FILTER('Learning Objectives'!$D$2:$D$500,'Learning Objectives'!$A$2:$A$500="8–10 Years",'Learning Objectives'!$B$2:$B$500=$A101)),""))</f>
        <v/>
      </c>
      <c r="F101" s="11" t="n"/>
      <c r="G101" s="12" t="n"/>
      <c r="H101" s="12" t="n"/>
      <c r="I101" s="11" t="n"/>
      <c r="J101" s="11" t="n"/>
      <c r="K101" s="11" t="n"/>
      <c r="L101" s="12" t="n"/>
      <c r="M101" s="12" t="n"/>
      <c r="N101" s="11" t="n"/>
    </row>
    <row r="102">
      <c r="A102" s="10" t="n"/>
      <c r="B102" s="11" t="n"/>
      <c r="C102" s="12" t="n"/>
      <c r="D102" s="11" t="n"/>
      <c r="E102" s="13">
        <f>IF($A102="","",IFERROR(TEXTJOIN(CHAR(10),TRUE,FILTER('Learning Objectives'!$D$2:$D$500,'Learning Objectives'!$A$2:$A$500="8–10 Years",'Learning Objectives'!$B$2:$B$500=$A102)),""))</f>
        <v/>
      </c>
      <c r="F102" s="11" t="n"/>
      <c r="G102" s="12" t="n"/>
      <c r="H102" s="12" t="n"/>
      <c r="I102" s="11" t="n"/>
      <c r="J102" s="11" t="n"/>
      <c r="K102" s="11" t="n"/>
      <c r="L102" s="12" t="n"/>
      <c r="M102" s="12" t="n"/>
      <c r="N102" s="11" t="n"/>
    </row>
    <row r="103">
      <c r="A103" s="10" t="n"/>
      <c r="B103" s="11" t="n"/>
      <c r="C103" s="12" t="n"/>
      <c r="D103" s="11" t="n"/>
      <c r="E103" s="13">
        <f>IF($A103="","",IFERROR(TEXTJOIN(CHAR(10),TRUE,FILTER('Learning Objectives'!$D$2:$D$500,'Learning Objectives'!$A$2:$A$500="8–10 Years",'Learning Objectives'!$B$2:$B$500=$A103)),""))</f>
        <v/>
      </c>
      <c r="F103" s="11" t="n"/>
      <c r="G103" s="12" t="n"/>
      <c r="H103" s="12" t="n"/>
      <c r="I103" s="11" t="n"/>
      <c r="J103" s="11" t="n"/>
      <c r="K103" s="11" t="n"/>
      <c r="L103" s="12" t="n"/>
      <c r="M103" s="12" t="n"/>
      <c r="N103" s="11" t="n"/>
    </row>
    <row r="104">
      <c r="A104" s="10" t="n"/>
      <c r="B104" s="11" t="n"/>
      <c r="C104" s="12" t="n"/>
      <c r="D104" s="11" t="n"/>
      <c r="E104" s="13">
        <f>IF($A104="","",IFERROR(TEXTJOIN(CHAR(10),TRUE,FILTER('Learning Objectives'!$D$2:$D$500,'Learning Objectives'!$A$2:$A$500="8–10 Years",'Learning Objectives'!$B$2:$B$500=$A104)),""))</f>
        <v/>
      </c>
      <c r="F104" s="11" t="n"/>
      <c r="G104" s="12" t="n"/>
      <c r="H104" s="12" t="n"/>
      <c r="I104" s="11" t="n"/>
      <c r="J104" s="11" t="n"/>
      <c r="K104" s="11" t="n"/>
      <c r="L104" s="12" t="n"/>
      <c r="M104" s="12" t="n"/>
      <c r="N104" s="11" t="n"/>
    </row>
    <row r="105">
      <c r="A105" s="10" t="n"/>
      <c r="B105" s="11" t="n"/>
      <c r="C105" s="12" t="n"/>
      <c r="D105" s="11" t="n"/>
      <c r="E105" s="13">
        <f>IF($A105="","",IFERROR(TEXTJOIN(CHAR(10),TRUE,FILTER('Learning Objectives'!$D$2:$D$500,'Learning Objectives'!$A$2:$A$500="8–10 Years",'Learning Objectives'!$B$2:$B$500=$A105)),""))</f>
        <v/>
      </c>
      <c r="F105" s="11" t="n"/>
      <c r="G105" s="12" t="n"/>
      <c r="H105" s="12" t="n"/>
      <c r="I105" s="11" t="n"/>
      <c r="J105" s="11" t="n"/>
      <c r="K105" s="11" t="n"/>
      <c r="L105" s="12" t="n"/>
      <c r="M105" s="12" t="n"/>
      <c r="N105" s="11" t="n"/>
    </row>
    <row r="106">
      <c r="A106" s="10" t="n"/>
      <c r="B106" s="11" t="n"/>
      <c r="C106" s="12" t="n"/>
      <c r="D106" s="11" t="n"/>
      <c r="E106" s="13">
        <f>IF($A106="","",IFERROR(TEXTJOIN(CHAR(10),TRUE,FILTER('Learning Objectives'!$D$2:$D$500,'Learning Objectives'!$A$2:$A$500="8–10 Years",'Learning Objectives'!$B$2:$B$500=$A106)),""))</f>
        <v/>
      </c>
      <c r="F106" s="11" t="n"/>
      <c r="G106" s="12" t="n"/>
      <c r="H106" s="12" t="n"/>
      <c r="I106" s="11" t="n"/>
      <c r="J106" s="11" t="n"/>
      <c r="K106" s="11" t="n"/>
      <c r="L106" s="12" t="n"/>
      <c r="M106" s="12" t="n"/>
      <c r="N106" s="11" t="n"/>
    </row>
    <row r="107">
      <c r="A107" s="10" t="n"/>
      <c r="B107" s="11" t="n"/>
      <c r="C107" s="12" t="n"/>
      <c r="D107" s="11" t="n"/>
      <c r="E107" s="13">
        <f>IF($A107="","",IFERROR(TEXTJOIN(CHAR(10),TRUE,FILTER('Learning Objectives'!$D$2:$D$500,'Learning Objectives'!$A$2:$A$500="8–10 Years",'Learning Objectives'!$B$2:$B$500=$A107)),""))</f>
        <v/>
      </c>
      <c r="F107" s="11" t="n"/>
      <c r="G107" s="12" t="n"/>
      <c r="H107" s="12" t="n"/>
      <c r="I107" s="11" t="n"/>
      <c r="J107" s="11" t="n"/>
      <c r="K107" s="11" t="n"/>
      <c r="L107" s="12" t="n"/>
      <c r="M107" s="12" t="n"/>
      <c r="N107" s="11" t="n"/>
    </row>
    <row r="108">
      <c r="A108" s="10" t="n"/>
      <c r="B108" s="11" t="n"/>
      <c r="C108" s="12" t="n"/>
      <c r="D108" s="11" t="n"/>
      <c r="E108" s="13">
        <f>IF($A108="","",IFERROR(TEXTJOIN(CHAR(10),TRUE,FILTER('Learning Objectives'!$D$2:$D$500,'Learning Objectives'!$A$2:$A$500="8–10 Years",'Learning Objectives'!$B$2:$B$500=$A108)),""))</f>
        <v/>
      </c>
      <c r="F108" s="11" t="n"/>
      <c r="G108" s="12" t="n"/>
      <c r="H108" s="12" t="n"/>
      <c r="I108" s="11" t="n"/>
      <c r="J108" s="11" t="n"/>
      <c r="K108" s="11" t="n"/>
      <c r="L108" s="12" t="n"/>
      <c r="M108" s="12" t="n"/>
      <c r="N108" s="11" t="n"/>
    </row>
    <row r="109">
      <c r="A109" s="10" t="n"/>
      <c r="B109" s="11" t="n"/>
      <c r="C109" s="12" t="n"/>
      <c r="D109" s="11" t="n"/>
      <c r="E109" s="13">
        <f>IF($A109="","",IFERROR(TEXTJOIN(CHAR(10),TRUE,FILTER('Learning Objectives'!$D$2:$D$500,'Learning Objectives'!$A$2:$A$500="8–10 Years",'Learning Objectives'!$B$2:$B$500=$A109)),""))</f>
        <v/>
      </c>
      <c r="F109" s="11" t="n"/>
      <c r="G109" s="12" t="n"/>
      <c r="H109" s="12" t="n"/>
      <c r="I109" s="11" t="n"/>
      <c r="J109" s="11" t="n"/>
      <c r="K109" s="11" t="n"/>
      <c r="L109" s="12" t="n"/>
      <c r="M109" s="12" t="n"/>
      <c r="N109" s="11" t="n"/>
    </row>
    <row r="110">
      <c r="A110" s="10" t="n"/>
      <c r="B110" s="11" t="n"/>
      <c r="C110" s="12" t="n"/>
      <c r="D110" s="11" t="n"/>
      <c r="E110" s="13">
        <f>IF($A110="","",IFERROR(TEXTJOIN(CHAR(10),TRUE,FILTER('Learning Objectives'!$D$2:$D$500,'Learning Objectives'!$A$2:$A$500="8–10 Years",'Learning Objectives'!$B$2:$B$500=$A110)),""))</f>
        <v/>
      </c>
      <c r="F110" s="11" t="n"/>
      <c r="G110" s="12" t="n"/>
      <c r="H110" s="12" t="n"/>
      <c r="I110" s="11" t="n"/>
      <c r="J110" s="11" t="n"/>
      <c r="K110" s="11" t="n"/>
      <c r="L110" s="12" t="n"/>
      <c r="M110" s="12" t="n"/>
      <c r="N110" s="11" t="n"/>
    </row>
    <row r="111">
      <c r="A111" s="10" t="n"/>
      <c r="B111" s="11" t="n"/>
      <c r="C111" s="12" t="n"/>
      <c r="D111" s="11" t="n"/>
      <c r="E111" s="13">
        <f>IF($A111="","",IFERROR(TEXTJOIN(CHAR(10),TRUE,FILTER('Learning Objectives'!$D$2:$D$500,'Learning Objectives'!$A$2:$A$500="8–10 Years",'Learning Objectives'!$B$2:$B$500=$A111)),""))</f>
        <v/>
      </c>
      <c r="F111" s="11" t="n"/>
      <c r="G111" s="12" t="n"/>
      <c r="H111" s="12" t="n"/>
      <c r="I111" s="11" t="n"/>
      <c r="J111" s="11" t="n"/>
      <c r="K111" s="11" t="n"/>
      <c r="L111" s="12" t="n"/>
      <c r="M111" s="12" t="n"/>
      <c r="N111" s="11" t="n"/>
    </row>
    <row r="112">
      <c r="A112" s="10" t="n"/>
      <c r="B112" s="11" t="n"/>
      <c r="C112" s="12" t="n"/>
      <c r="D112" s="11" t="n"/>
      <c r="E112" s="13">
        <f>IF($A112="","",IFERROR(TEXTJOIN(CHAR(10),TRUE,FILTER('Learning Objectives'!$D$2:$D$500,'Learning Objectives'!$A$2:$A$500="8–10 Years",'Learning Objectives'!$B$2:$B$500=$A112)),""))</f>
        <v/>
      </c>
      <c r="F112" s="11" t="n"/>
      <c r="G112" s="12" t="n"/>
      <c r="H112" s="12" t="n"/>
      <c r="I112" s="11" t="n"/>
      <c r="J112" s="11" t="n"/>
      <c r="K112" s="11" t="n"/>
      <c r="L112" s="12" t="n"/>
      <c r="M112" s="12" t="n"/>
      <c r="N112" s="11" t="n"/>
    </row>
    <row r="113">
      <c r="A113" s="10" t="n"/>
      <c r="B113" s="11" t="n"/>
      <c r="C113" s="12" t="n"/>
      <c r="D113" s="11" t="n"/>
      <c r="E113" s="13">
        <f>IF($A113="","",IFERROR(TEXTJOIN(CHAR(10),TRUE,FILTER('Learning Objectives'!$D$2:$D$500,'Learning Objectives'!$A$2:$A$500="8–10 Years",'Learning Objectives'!$B$2:$B$500=$A113)),""))</f>
        <v/>
      </c>
      <c r="F113" s="11" t="n"/>
      <c r="G113" s="12" t="n"/>
      <c r="H113" s="12" t="n"/>
      <c r="I113" s="11" t="n"/>
      <c r="J113" s="11" t="n"/>
      <c r="K113" s="11" t="n"/>
      <c r="L113" s="12" t="n"/>
      <c r="M113" s="12" t="n"/>
      <c r="N113" s="11" t="n"/>
    </row>
    <row r="114">
      <c r="A114" s="10" t="n"/>
      <c r="B114" s="11" t="n"/>
      <c r="C114" s="12" t="n"/>
      <c r="D114" s="11" t="n"/>
      <c r="E114" s="13">
        <f>IF($A114="","",IFERROR(TEXTJOIN(CHAR(10),TRUE,FILTER('Learning Objectives'!$D$2:$D$500,'Learning Objectives'!$A$2:$A$500="8–10 Years",'Learning Objectives'!$B$2:$B$500=$A114)),""))</f>
        <v/>
      </c>
      <c r="F114" s="11" t="n"/>
      <c r="G114" s="12" t="n"/>
      <c r="H114" s="12" t="n"/>
      <c r="I114" s="11" t="n"/>
      <c r="J114" s="11" t="n"/>
      <c r="K114" s="11" t="n"/>
      <c r="L114" s="12" t="n"/>
      <c r="M114" s="12" t="n"/>
      <c r="N114" s="11" t="n"/>
    </row>
    <row r="115">
      <c r="A115" s="10" t="n"/>
      <c r="B115" s="11" t="n"/>
      <c r="C115" s="12" t="n"/>
      <c r="D115" s="11" t="n"/>
      <c r="E115" s="13">
        <f>IF($A115="","",IFERROR(TEXTJOIN(CHAR(10),TRUE,FILTER('Learning Objectives'!$D$2:$D$500,'Learning Objectives'!$A$2:$A$500="8–10 Years",'Learning Objectives'!$B$2:$B$500=$A115)),""))</f>
        <v/>
      </c>
      <c r="F115" s="11" t="n"/>
      <c r="G115" s="12" t="n"/>
      <c r="H115" s="12" t="n"/>
      <c r="I115" s="11" t="n"/>
      <c r="J115" s="11" t="n"/>
      <c r="K115" s="11" t="n"/>
      <c r="L115" s="12" t="n"/>
      <c r="M115" s="12" t="n"/>
      <c r="N115" s="11" t="n"/>
    </row>
    <row r="116">
      <c r="A116" s="10" t="n"/>
      <c r="B116" s="11" t="n"/>
      <c r="C116" s="12" t="n"/>
      <c r="D116" s="11" t="n"/>
      <c r="E116" s="13">
        <f>IF($A116="","",IFERROR(TEXTJOIN(CHAR(10),TRUE,FILTER('Learning Objectives'!$D$2:$D$500,'Learning Objectives'!$A$2:$A$500="8–10 Years",'Learning Objectives'!$B$2:$B$500=$A116)),""))</f>
        <v/>
      </c>
      <c r="F116" s="11" t="n"/>
      <c r="G116" s="12" t="n"/>
      <c r="H116" s="12" t="n"/>
      <c r="I116" s="11" t="n"/>
      <c r="J116" s="11" t="n"/>
      <c r="K116" s="11" t="n"/>
      <c r="L116" s="12" t="n"/>
      <c r="M116" s="12" t="n"/>
      <c r="N116" s="11" t="n"/>
    </row>
    <row r="117">
      <c r="A117" s="10" t="n"/>
      <c r="B117" s="11" t="n"/>
      <c r="C117" s="12" t="n"/>
      <c r="D117" s="11" t="n"/>
      <c r="E117" s="13">
        <f>IF($A117="","",IFERROR(TEXTJOIN(CHAR(10),TRUE,FILTER('Learning Objectives'!$D$2:$D$500,'Learning Objectives'!$A$2:$A$500="8–10 Years",'Learning Objectives'!$B$2:$B$500=$A117)),""))</f>
        <v/>
      </c>
      <c r="F117" s="11" t="n"/>
      <c r="G117" s="12" t="n"/>
      <c r="H117" s="12" t="n"/>
      <c r="I117" s="11" t="n"/>
      <c r="J117" s="11" t="n"/>
      <c r="K117" s="11" t="n"/>
      <c r="L117" s="12" t="n"/>
      <c r="M117" s="12" t="n"/>
      <c r="N117" s="11" t="n"/>
    </row>
    <row r="118">
      <c r="A118" s="10" t="n"/>
      <c r="B118" s="11" t="n"/>
      <c r="C118" s="12" t="n"/>
      <c r="D118" s="11" t="n"/>
      <c r="E118" s="13">
        <f>IF($A118="","",IFERROR(TEXTJOIN(CHAR(10),TRUE,FILTER('Learning Objectives'!$D$2:$D$500,'Learning Objectives'!$A$2:$A$500="8–10 Years",'Learning Objectives'!$B$2:$B$500=$A118)),""))</f>
        <v/>
      </c>
      <c r="F118" s="11" t="n"/>
      <c r="G118" s="12" t="n"/>
      <c r="H118" s="12" t="n"/>
      <c r="I118" s="11" t="n"/>
      <c r="J118" s="11" t="n"/>
      <c r="K118" s="11" t="n"/>
      <c r="L118" s="12" t="n"/>
      <c r="M118" s="12" t="n"/>
      <c r="N118" s="11" t="n"/>
    </row>
    <row r="119">
      <c r="A119" s="10" t="n"/>
      <c r="B119" s="11" t="n"/>
      <c r="C119" s="12" t="n"/>
      <c r="D119" s="11" t="n"/>
      <c r="E119" s="13">
        <f>IF($A119="","",IFERROR(TEXTJOIN(CHAR(10),TRUE,FILTER('Learning Objectives'!$D$2:$D$500,'Learning Objectives'!$A$2:$A$500="8–10 Years",'Learning Objectives'!$B$2:$B$500=$A119)),""))</f>
        <v/>
      </c>
      <c r="F119" s="11" t="n"/>
      <c r="G119" s="12" t="n"/>
      <c r="H119" s="12" t="n"/>
      <c r="I119" s="11" t="n"/>
      <c r="J119" s="11" t="n"/>
      <c r="K119" s="11" t="n"/>
      <c r="L119" s="12" t="n"/>
      <c r="M119" s="12" t="n"/>
      <c r="N119" s="11" t="n"/>
    </row>
    <row r="120">
      <c r="A120" s="10" t="n"/>
      <c r="B120" s="11" t="n"/>
      <c r="C120" s="12" t="n"/>
      <c r="D120" s="11" t="n"/>
      <c r="E120" s="13">
        <f>IF($A120="","",IFERROR(TEXTJOIN(CHAR(10),TRUE,FILTER('Learning Objectives'!$D$2:$D$500,'Learning Objectives'!$A$2:$A$500="8–10 Years",'Learning Objectives'!$B$2:$B$500=$A120)),""))</f>
        <v/>
      </c>
      <c r="F120" s="11" t="n"/>
      <c r="G120" s="12" t="n"/>
      <c r="H120" s="12" t="n"/>
      <c r="I120" s="11" t="n"/>
      <c r="J120" s="11" t="n"/>
      <c r="K120" s="11" t="n"/>
      <c r="L120" s="12" t="n"/>
      <c r="M120" s="12" t="n"/>
      <c r="N120" s="11" t="n"/>
    </row>
    <row r="121">
      <c r="A121" s="10" t="n"/>
      <c r="B121" s="11" t="n"/>
      <c r="C121" s="12" t="n"/>
      <c r="D121" s="11" t="n"/>
      <c r="E121" s="13">
        <f>IF($A121="","",IFERROR(TEXTJOIN(CHAR(10),TRUE,FILTER('Learning Objectives'!$D$2:$D$500,'Learning Objectives'!$A$2:$A$500="8–10 Years",'Learning Objectives'!$B$2:$B$500=$A121)),""))</f>
        <v/>
      </c>
      <c r="F121" s="11" t="n"/>
      <c r="G121" s="12" t="n"/>
      <c r="H121" s="12" t="n"/>
      <c r="I121" s="11" t="n"/>
      <c r="J121" s="11" t="n"/>
      <c r="K121" s="11" t="n"/>
      <c r="L121" s="12" t="n"/>
      <c r="M121" s="12" t="n"/>
      <c r="N121" s="11" t="n"/>
    </row>
    <row r="122">
      <c r="A122" s="10" t="n"/>
      <c r="B122" s="11" t="n"/>
      <c r="C122" s="12" t="n"/>
      <c r="D122" s="11" t="n"/>
      <c r="E122" s="13">
        <f>IF($A122="","",IFERROR(TEXTJOIN(CHAR(10),TRUE,FILTER('Learning Objectives'!$D$2:$D$500,'Learning Objectives'!$A$2:$A$500="8–10 Years",'Learning Objectives'!$B$2:$B$500=$A122)),""))</f>
        <v/>
      </c>
      <c r="F122" s="11" t="n"/>
      <c r="G122" s="12" t="n"/>
      <c r="H122" s="12" t="n"/>
      <c r="I122" s="11" t="n"/>
      <c r="J122" s="11" t="n"/>
      <c r="K122" s="11" t="n"/>
      <c r="L122" s="12" t="n"/>
      <c r="M122" s="12" t="n"/>
      <c r="N122" s="11" t="n"/>
    </row>
    <row r="123">
      <c r="A123" s="10" t="n"/>
      <c r="B123" s="11" t="n"/>
      <c r="C123" s="12" t="n"/>
      <c r="D123" s="11" t="n"/>
      <c r="E123" s="13">
        <f>IF($A123="","",IFERROR(TEXTJOIN(CHAR(10),TRUE,FILTER('Learning Objectives'!$D$2:$D$500,'Learning Objectives'!$A$2:$A$500="8–10 Years",'Learning Objectives'!$B$2:$B$500=$A123)),""))</f>
        <v/>
      </c>
      <c r="F123" s="11" t="n"/>
      <c r="G123" s="12" t="n"/>
      <c r="H123" s="12" t="n"/>
      <c r="I123" s="11" t="n"/>
      <c r="J123" s="11" t="n"/>
      <c r="K123" s="11" t="n"/>
      <c r="L123" s="12" t="n"/>
      <c r="M123" s="12" t="n"/>
      <c r="N123" s="11" t="n"/>
    </row>
    <row r="124">
      <c r="A124" s="10" t="n"/>
      <c r="B124" s="11" t="n"/>
      <c r="C124" s="12" t="n"/>
      <c r="D124" s="11" t="n"/>
      <c r="E124" s="13">
        <f>IF($A124="","",IFERROR(TEXTJOIN(CHAR(10),TRUE,FILTER('Learning Objectives'!$D$2:$D$500,'Learning Objectives'!$A$2:$A$500="8–10 Years",'Learning Objectives'!$B$2:$B$500=$A124)),""))</f>
        <v/>
      </c>
      <c r="F124" s="11" t="n"/>
      <c r="G124" s="12" t="n"/>
      <c r="H124" s="12" t="n"/>
      <c r="I124" s="11" t="n"/>
      <c r="J124" s="11" t="n"/>
      <c r="K124" s="11" t="n"/>
      <c r="L124" s="12" t="n"/>
      <c r="M124" s="12" t="n"/>
      <c r="N124" s="11" t="n"/>
    </row>
    <row r="125">
      <c r="A125" s="10" t="n"/>
      <c r="B125" s="11" t="n"/>
      <c r="C125" s="12" t="n"/>
      <c r="D125" s="11" t="n"/>
      <c r="E125" s="13">
        <f>IF($A125="","",IFERROR(TEXTJOIN(CHAR(10),TRUE,FILTER('Learning Objectives'!$D$2:$D$500,'Learning Objectives'!$A$2:$A$500="8–10 Years",'Learning Objectives'!$B$2:$B$500=$A125)),""))</f>
        <v/>
      </c>
      <c r="F125" s="11" t="n"/>
      <c r="G125" s="12" t="n"/>
      <c r="H125" s="12" t="n"/>
      <c r="I125" s="11" t="n"/>
      <c r="J125" s="11" t="n"/>
      <c r="K125" s="11" t="n"/>
      <c r="L125" s="12" t="n"/>
      <c r="M125" s="12" t="n"/>
      <c r="N125" s="11" t="n"/>
    </row>
    <row r="126">
      <c r="A126" s="10" t="n"/>
      <c r="B126" s="11" t="n"/>
      <c r="C126" s="12" t="n"/>
      <c r="D126" s="11" t="n"/>
      <c r="E126" s="13">
        <f>IF($A126="","",IFERROR(TEXTJOIN(CHAR(10),TRUE,FILTER('Learning Objectives'!$D$2:$D$500,'Learning Objectives'!$A$2:$A$500="8–10 Years",'Learning Objectives'!$B$2:$B$500=$A126)),""))</f>
        <v/>
      </c>
      <c r="F126" s="11" t="n"/>
      <c r="G126" s="12" t="n"/>
      <c r="H126" s="12" t="n"/>
      <c r="I126" s="11" t="n"/>
      <c r="J126" s="11" t="n"/>
      <c r="K126" s="11" t="n"/>
      <c r="L126" s="12" t="n"/>
      <c r="M126" s="12" t="n"/>
      <c r="N126" s="11" t="n"/>
    </row>
    <row r="127">
      <c r="A127" s="10" t="n"/>
      <c r="B127" s="11" t="n"/>
      <c r="C127" s="12" t="n"/>
      <c r="D127" s="11" t="n"/>
      <c r="E127" s="13">
        <f>IF($A127="","",IFERROR(TEXTJOIN(CHAR(10),TRUE,FILTER('Learning Objectives'!$D$2:$D$500,'Learning Objectives'!$A$2:$A$500="8–10 Years",'Learning Objectives'!$B$2:$B$500=$A127)),""))</f>
        <v/>
      </c>
      <c r="F127" s="11" t="n"/>
      <c r="G127" s="12" t="n"/>
      <c r="H127" s="12" t="n"/>
      <c r="I127" s="11" t="n"/>
      <c r="J127" s="11" t="n"/>
      <c r="K127" s="11" t="n"/>
      <c r="L127" s="12" t="n"/>
      <c r="M127" s="12" t="n"/>
      <c r="N127" s="11" t="n"/>
    </row>
    <row r="128">
      <c r="A128" s="10" t="n"/>
      <c r="B128" s="11" t="n"/>
      <c r="C128" s="12" t="n"/>
      <c r="D128" s="11" t="n"/>
      <c r="E128" s="13">
        <f>IF($A128="","",IFERROR(TEXTJOIN(CHAR(10),TRUE,FILTER('Learning Objectives'!$D$2:$D$500,'Learning Objectives'!$A$2:$A$500="8–10 Years",'Learning Objectives'!$B$2:$B$500=$A128)),""))</f>
        <v/>
      </c>
      <c r="F128" s="11" t="n"/>
      <c r="G128" s="12" t="n"/>
      <c r="H128" s="12" t="n"/>
      <c r="I128" s="11" t="n"/>
      <c r="J128" s="11" t="n"/>
      <c r="K128" s="11" t="n"/>
      <c r="L128" s="12" t="n"/>
      <c r="M128" s="12" t="n"/>
      <c r="N128" s="11" t="n"/>
    </row>
    <row r="129">
      <c r="A129" s="10" t="n"/>
      <c r="B129" s="11" t="n"/>
      <c r="C129" s="12" t="n"/>
      <c r="D129" s="11" t="n"/>
      <c r="E129" s="13">
        <f>IF($A129="","",IFERROR(TEXTJOIN(CHAR(10),TRUE,FILTER('Learning Objectives'!$D$2:$D$500,'Learning Objectives'!$A$2:$A$500="8–10 Years",'Learning Objectives'!$B$2:$B$500=$A129)),""))</f>
        <v/>
      </c>
      <c r="F129" s="11" t="n"/>
      <c r="G129" s="12" t="n"/>
      <c r="H129" s="12" t="n"/>
      <c r="I129" s="11" t="n"/>
      <c r="J129" s="11" t="n"/>
      <c r="K129" s="11" t="n"/>
      <c r="L129" s="12" t="n"/>
      <c r="M129" s="12" t="n"/>
      <c r="N129" s="11" t="n"/>
    </row>
    <row r="130">
      <c r="A130" s="10" t="n"/>
      <c r="B130" s="11" t="n"/>
      <c r="C130" s="12" t="n"/>
      <c r="D130" s="11" t="n"/>
      <c r="E130" s="13">
        <f>IF($A130="","",IFERROR(TEXTJOIN(CHAR(10),TRUE,FILTER('Learning Objectives'!$D$2:$D$500,'Learning Objectives'!$A$2:$A$500="8–10 Years",'Learning Objectives'!$B$2:$B$500=$A130)),""))</f>
        <v/>
      </c>
      <c r="F130" s="11" t="n"/>
      <c r="G130" s="12" t="n"/>
      <c r="H130" s="12" t="n"/>
      <c r="I130" s="11" t="n"/>
      <c r="J130" s="11" t="n"/>
      <c r="K130" s="11" t="n"/>
      <c r="L130" s="12" t="n"/>
      <c r="M130" s="12" t="n"/>
      <c r="N130" s="11" t="n"/>
    </row>
    <row r="131">
      <c r="A131" s="10" t="n"/>
      <c r="B131" s="11" t="n"/>
      <c r="C131" s="12" t="n"/>
      <c r="D131" s="11" t="n"/>
      <c r="E131" s="13">
        <f>IF($A131="","",IFERROR(TEXTJOIN(CHAR(10),TRUE,FILTER('Learning Objectives'!$D$2:$D$500,'Learning Objectives'!$A$2:$A$500="8–10 Years",'Learning Objectives'!$B$2:$B$500=$A131)),""))</f>
        <v/>
      </c>
      <c r="F131" s="11" t="n"/>
      <c r="G131" s="12" t="n"/>
      <c r="H131" s="12" t="n"/>
      <c r="I131" s="11" t="n"/>
      <c r="J131" s="11" t="n"/>
      <c r="K131" s="11" t="n"/>
      <c r="L131" s="12" t="n"/>
      <c r="M131" s="12" t="n"/>
      <c r="N131" s="11" t="n"/>
    </row>
    <row r="132">
      <c r="A132" s="10" t="n"/>
      <c r="B132" s="11" t="n"/>
      <c r="C132" s="12" t="n"/>
      <c r="D132" s="11" t="n"/>
      <c r="E132" s="13">
        <f>IF($A132="","",IFERROR(TEXTJOIN(CHAR(10),TRUE,FILTER('Learning Objectives'!$D$2:$D$500,'Learning Objectives'!$A$2:$A$500="8–10 Years",'Learning Objectives'!$B$2:$B$500=$A132)),""))</f>
        <v/>
      </c>
      <c r="F132" s="11" t="n"/>
      <c r="G132" s="12" t="n"/>
      <c r="H132" s="12" t="n"/>
      <c r="I132" s="11" t="n"/>
      <c r="J132" s="11" t="n"/>
      <c r="K132" s="11" t="n"/>
      <c r="L132" s="12" t="n"/>
      <c r="M132" s="12" t="n"/>
      <c r="N132" s="11" t="n"/>
    </row>
    <row r="133">
      <c r="A133" s="10" t="n"/>
      <c r="B133" s="11" t="n"/>
      <c r="C133" s="12" t="n"/>
      <c r="D133" s="11" t="n"/>
      <c r="E133" s="13">
        <f>IF($A133="","",IFERROR(TEXTJOIN(CHAR(10),TRUE,FILTER('Learning Objectives'!$D$2:$D$500,'Learning Objectives'!$A$2:$A$500="8–10 Years",'Learning Objectives'!$B$2:$B$500=$A133)),""))</f>
        <v/>
      </c>
      <c r="F133" s="11" t="n"/>
      <c r="G133" s="12" t="n"/>
      <c r="H133" s="12" t="n"/>
      <c r="I133" s="11" t="n"/>
      <c r="J133" s="11" t="n"/>
      <c r="K133" s="11" t="n"/>
      <c r="L133" s="12" t="n"/>
      <c r="M133" s="12" t="n"/>
      <c r="N133" s="11" t="n"/>
    </row>
    <row r="134">
      <c r="A134" s="10" t="n"/>
      <c r="B134" s="11" t="n"/>
      <c r="C134" s="12" t="n"/>
      <c r="D134" s="11" t="n"/>
      <c r="E134" s="13">
        <f>IF($A134="","",IFERROR(TEXTJOIN(CHAR(10),TRUE,FILTER('Learning Objectives'!$D$2:$D$500,'Learning Objectives'!$A$2:$A$500="8–10 Years",'Learning Objectives'!$B$2:$B$500=$A134)),""))</f>
        <v/>
      </c>
      <c r="F134" s="11" t="n"/>
      <c r="G134" s="12" t="n"/>
      <c r="H134" s="12" t="n"/>
      <c r="I134" s="11" t="n"/>
      <c r="J134" s="11" t="n"/>
      <c r="K134" s="11" t="n"/>
      <c r="L134" s="12" t="n"/>
      <c r="M134" s="12" t="n"/>
      <c r="N134" s="11" t="n"/>
    </row>
    <row r="135">
      <c r="A135" s="10" t="n"/>
      <c r="B135" s="11" t="n"/>
      <c r="C135" s="12" t="n"/>
      <c r="D135" s="11" t="n"/>
      <c r="E135" s="13">
        <f>IF($A135="","",IFERROR(TEXTJOIN(CHAR(10),TRUE,FILTER('Learning Objectives'!$D$2:$D$500,'Learning Objectives'!$A$2:$A$500="8–10 Years",'Learning Objectives'!$B$2:$B$500=$A135)),""))</f>
        <v/>
      </c>
      <c r="F135" s="11" t="n"/>
      <c r="G135" s="12" t="n"/>
      <c r="H135" s="12" t="n"/>
      <c r="I135" s="11" t="n"/>
      <c r="J135" s="11" t="n"/>
      <c r="K135" s="11" t="n"/>
      <c r="L135" s="12" t="n"/>
      <c r="M135" s="12" t="n"/>
      <c r="N135" s="11" t="n"/>
    </row>
    <row r="136">
      <c r="A136" s="10" t="n"/>
      <c r="B136" s="11" t="n"/>
      <c r="C136" s="12" t="n"/>
      <c r="D136" s="11" t="n"/>
      <c r="E136" s="13">
        <f>IF($A136="","",IFERROR(TEXTJOIN(CHAR(10),TRUE,FILTER('Learning Objectives'!$D$2:$D$500,'Learning Objectives'!$A$2:$A$500="8–10 Years",'Learning Objectives'!$B$2:$B$500=$A136)),""))</f>
        <v/>
      </c>
      <c r="F136" s="11" t="n"/>
      <c r="G136" s="12" t="n"/>
      <c r="H136" s="12" t="n"/>
      <c r="I136" s="11" t="n"/>
      <c r="J136" s="11" t="n"/>
      <c r="K136" s="11" t="n"/>
      <c r="L136" s="12" t="n"/>
      <c r="M136" s="12" t="n"/>
      <c r="N136" s="11" t="n"/>
    </row>
    <row r="137">
      <c r="A137" s="10" t="n"/>
      <c r="B137" s="11" t="n"/>
      <c r="C137" s="12" t="n"/>
      <c r="D137" s="11" t="n"/>
      <c r="E137" s="13">
        <f>IF($A137="","",IFERROR(TEXTJOIN(CHAR(10),TRUE,FILTER('Learning Objectives'!$D$2:$D$500,'Learning Objectives'!$A$2:$A$500="8–10 Years",'Learning Objectives'!$B$2:$B$500=$A137)),""))</f>
        <v/>
      </c>
      <c r="F137" s="11" t="n"/>
      <c r="G137" s="12" t="n"/>
      <c r="H137" s="12" t="n"/>
      <c r="I137" s="11" t="n"/>
      <c r="J137" s="11" t="n"/>
      <c r="K137" s="11" t="n"/>
      <c r="L137" s="12" t="n"/>
      <c r="M137" s="12" t="n"/>
      <c r="N137" s="11" t="n"/>
    </row>
    <row r="138">
      <c r="A138" s="10" t="n"/>
      <c r="B138" s="11" t="n"/>
      <c r="C138" s="12" t="n"/>
      <c r="D138" s="11" t="n"/>
      <c r="E138" s="13">
        <f>IF($A138="","",IFERROR(TEXTJOIN(CHAR(10),TRUE,FILTER('Learning Objectives'!$D$2:$D$500,'Learning Objectives'!$A$2:$A$500="8–10 Years",'Learning Objectives'!$B$2:$B$500=$A138)),""))</f>
        <v/>
      </c>
      <c r="F138" s="11" t="n"/>
      <c r="G138" s="12" t="n"/>
      <c r="H138" s="12" t="n"/>
      <c r="I138" s="11" t="n"/>
      <c r="J138" s="11" t="n"/>
      <c r="K138" s="11" t="n"/>
      <c r="L138" s="12" t="n"/>
      <c r="M138" s="12" t="n"/>
      <c r="N138" s="11" t="n"/>
    </row>
    <row r="139">
      <c r="A139" s="10" t="n"/>
      <c r="B139" s="11" t="n"/>
      <c r="C139" s="12" t="n"/>
      <c r="D139" s="11" t="n"/>
      <c r="E139" s="13">
        <f>IF($A139="","",IFERROR(TEXTJOIN(CHAR(10),TRUE,FILTER('Learning Objectives'!$D$2:$D$500,'Learning Objectives'!$A$2:$A$500="8–10 Years",'Learning Objectives'!$B$2:$B$500=$A139)),""))</f>
        <v/>
      </c>
      <c r="F139" s="11" t="n"/>
      <c r="G139" s="12" t="n"/>
      <c r="H139" s="12" t="n"/>
      <c r="I139" s="11" t="n"/>
      <c r="J139" s="11" t="n"/>
      <c r="K139" s="11" t="n"/>
      <c r="L139" s="12" t="n"/>
      <c r="M139" s="12" t="n"/>
      <c r="N139" s="11" t="n"/>
    </row>
    <row r="140">
      <c r="A140" s="10" t="n"/>
      <c r="B140" s="11" t="n"/>
      <c r="C140" s="12" t="n"/>
      <c r="D140" s="11" t="n"/>
      <c r="E140" s="13">
        <f>IF($A140="","",IFERROR(TEXTJOIN(CHAR(10),TRUE,FILTER('Learning Objectives'!$D$2:$D$500,'Learning Objectives'!$A$2:$A$500="8–10 Years",'Learning Objectives'!$B$2:$B$500=$A140)),""))</f>
        <v/>
      </c>
      <c r="F140" s="11" t="n"/>
      <c r="G140" s="12" t="n"/>
      <c r="H140" s="12" t="n"/>
      <c r="I140" s="11" t="n"/>
      <c r="J140" s="11" t="n"/>
      <c r="K140" s="11" t="n"/>
      <c r="L140" s="12" t="n"/>
      <c r="M140" s="12" t="n"/>
      <c r="N140" s="11" t="n"/>
    </row>
    <row r="141">
      <c r="A141" s="10" t="n"/>
      <c r="B141" s="11" t="n"/>
      <c r="C141" s="12" t="n"/>
      <c r="D141" s="11" t="n"/>
      <c r="E141" s="13">
        <f>IF($A141="","",IFERROR(TEXTJOIN(CHAR(10),TRUE,FILTER('Learning Objectives'!$D$2:$D$500,'Learning Objectives'!$A$2:$A$500="8–10 Years",'Learning Objectives'!$B$2:$B$500=$A141)),""))</f>
        <v/>
      </c>
      <c r="F141" s="11" t="n"/>
      <c r="G141" s="12" t="n"/>
      <c r="H141" s="12" t="n"/>
      <c r="I141" s="11" t="n"/>
      <c r="J141" s="11" t="n"/>
      <c r="K141" s="11" t="n"/>
      <c r="L141" s="12" t="n"/>
      <c r="M141" s="12" t="n"/>
      <c r="N141" s="11" t="n"/>
    </row>
    <row r="142">
      <c r="A142" s="10" t="n"/>
      <c r="B142" s="11" t="n"/>
      <c r="C142" s="12" t="n"/>
      <c r="D142" s="11" t="n"/>
      <c r="E142" s="13">
        <f>IF($A142="","",IFERROR(TEXTJOIN(CHAR(10),TRUE,FILTER('Learning Objectives'!$D$2:$D$500,'Learning Objectives'!$A$2:$A$500="8–10 Years",'Learning Objectives'!$B$2:$B$500=$A142)),""))</f>
        <v/>
      </c>
      <c r="F142" s="11" t="n"/>
      <c r="G142" s="12" t="n"/>
      <c r="H142" s="12" t="n"/>
      <c r="I142" s="11" t="n"/>
      <c r="J142" s="11" t="n"/>
      <c r="K142" s="11" t="n"/>
      <c r="L142" s="12" t="n"/>
      <c r="M142" s="12" t="n"/>
      <c r="N142" s="11" t="n"/>
    </row>
    <row r="143">
      <c r="A143" s="10" t="n"/>
      <c r="B143" s="11" t="n"/>
      <c r="C143" s="12" t="n"/>
      <c r="D143" s="11" t="n"/>
      <c r="E143" s="13">
        <f>IF($A143="","",IFERROR(TEXTJOIN(CHAR(10),TRUE,FILTER('Learning Objectives'!$D$2:$D$500,'Learning Objectives'!$A$2:$A$500="8–10 Years",'Learning Objectives'!$B$2:$B$500=$A143)),""))</f>
        <v/>
      </c>
      <c r="F143" s="11" t="n"/>
      <c r="G143" s="12" t="n"/>
      <c r="H143" s="12" t="n"/>
      <c r="I143" s="11" t="n"/>
      <c r="J143" s="11" t="n"/>
      <c r="K143" s="11" t="n"/>
      <c r="L143" s="12" t="n"/>
      <c r="M143" s="12" t="n"/>
      <c r="N143" s="11" t="n"/>
    </row>
    <row r="144">
      <c r="A144" s="10" t="n"/>
      <c r="B144" s="11" t="n"/>
      <c r="C144" s="12" t="n"/>
      <c r="D144" s="11" t="n"/>
      <c r="E144" s="13">
        <f>IF($A144="","",IFERROR(TEXTJOIN(CHAR(10),TRUE,FILTER('Learning Objectives'!$D$2:$D$500,'Learning Objectives'!$A$2:$A$500="8–10 Years",'Learning Objectives'!$B$2:$B$500=$A144)),""))</f>
        <v/>
      </c>
      <c r="F144" s="11" t="n"/>
      <c r="G144" s="12" t="n"/>
      <c r="H144" s="12" t="n"/>
      <c r="I144" s="11" t="n"/>
      <c r="J144" s="11" t="n"/>
      <c r="K144" s="11" t="n"/>
      <c r="L144" s="12" t="n"/>
      <c r="M144" s="12" t="n"/>
      <c r="N144" s="11" t="n"/>
    </row>
    <row r="145">
      <c r="A145" s="10" t="n"/>
      <c r="B145" s="11" t="n"/>
      <c r="C145" s="12" t="n"/>
      <c r="D145" s="11" t="n"/>
      <c r="E145" s="13">
        <f>IF($A145="","",IFERROR(TEXTJOIN(CHAR(10),TRUE,FILTER('Learning Objectives'!$D$2:$D$500,'Learning Objectives'!$A$2:$A$500="8–10 Years",'Learning Objectives'!$B$2:$B$500=$A145)),""))</f>
        <v/>
      </c>
      <c r="F145" s="11" t="n"/>
      <c r="G145" s="12" t="n"/>
      <c r="H145" s="12" t="n"/>
      <c r="I145" s="11" t="n"/>
      <c r="J145" s="11" t="n"/>
      <c r="K145" s="11" t="n"/>
      <c r="L145" s="12" t="n"/>
      <c r="M145" s="12" t="n"/>
      <c r="N145" s="11" t="n"/>
    </row>
    <row r="146">
      <c r="A146" s="10" t="n"/>
      <c r="B146" s="11" t="n"/>
      <c r="C146" s="12" t="n"/>
      <c r="D146" s="11" t="n"/>
      <c r="E146" s="13">
        <f>IF($A146="","",IFERROR(TEXTJOIN(CHAR(10),TRUE,FILTER('Learning Objectives'!$D$2:$D$500,'Learning Objectives'!$A$2:$A$500="8–10 Years",'Learning Objectives'!$B$2:$B$500=$A146)),""))</f>
        <v/>
      </c>
      <c r="F146" s="11" t="n"/>
      <c r="G146" s="12" t="n"/>
      <c r="H146" s="12" t="n"/>
      <c r="I146" s="11" t="n"/>
      <c r="J146" s="11" t="n"/>
      <c r="K146" s="11" t="n"/>
      <c r="L146" s="12" t="n"/>
      <c r="M146" s="12" t="n"/>
      <c r="N146" s="11" t="n"/>
    </row>
    <row r="147">
      <c r="A147" s="10" t="n"/>
      <c r="B147" s="11" t="n"/>
      <c r="C147" s="12" t="n"/>
      <c r="D147" s="11" t="n"/>
      <c r="E147" s="13">
        <f>IF($A147="","",IFERROR(TEXTJOIN(CHAR(10),TRUE,FILTER('Learning Objectives'!$D$2:$D$500,'Learning Objectives'!$A$2:$A$500="8–10 Years",'Learning Objectives'!$B$2:$B$500=$A147)),""))</f>
        <v/>
      </c>
      <c r="F147" s="11" t="n"/>
      <c r="G147" s="12" t="n"/>
      <c r="H147" s="12" t="n"/>
      <c r="I147" s="11" t="n"/>
      <c r="J147" s="11" t="n"/>
      <c r="K147" s="11" t="n"/>
      <c r="L147" s="12" t="n"/>
      <c r="M147" s="12" t="n"/>
      <c r="N147" s="11" t="n"/>
    </row>
    <row r="148">
      <c r="A148" s="10" t="n"/>
      <c r="B148" s="11" t="n"/>
      <c r="C148" s="12" t="n"/>
      <c r="D148" s="11" t="n"/>
      <c r="E148" s="13">
        <f>IF($A148="","",IFERROR(TEXTJOIN(CHAR(10),TRUE,FILTER('Learning Objectives'!$D$2:$D$500,'Learning Objectives'!$A$2:$A$500="8–10 Years",'Learning Objectives'!$B$2:$B$500=$A148)),""))</f>
        <v/>
      </c>
      <c r="F148" s="11" t="n"/>
      <c r="G148" s="12" t="n"/>
      <c r="H148" s="12" t="n"/>
      <c r="I148" s="11" t="n"/>
      <c r="J148" s="11" t="n"/>
      <c r="K148" s="11" t="n"/>
      <c r="L148" s="12" t="n"/>
      <c r="M148" s="12" t="n"/>
      <c r="N148" s="11" t="n"/>
    </row>
    <row r="149">
      <c r="A149" s="10" t="n"/>
      <c r="B149" s="11" t="n"/>
      <c r="C149" s="12" t="n"/>
      <c r="D149" s="11" t="n"/>
      <c r="E149" s="13">
        <f>IF($A149="","",IFERROR(TEXTJOIN(CHAR(10),TRUE,FILTER('Learning Objectives'!$D$2:$D$500,'Learning Objectives'!$A$2:$A$500="8–10 Years",'Learning Objectives'!$B$2:$B$500=$A149)),""))</f>
        <v/>
      </c>
      <c r="F149" s="11" t="n"/>
      <c r="G149" s="12" t="n"/>
      <c r="H149" s="12" t="n"/>
      <c r="I149" s="11" t="n"/>
      <c r="J149" s="11" t="n"/>
      <c r="K149" s="11" t="n"/>
      <c r="L149" s="12" t="n"/>
      <c r="M149" s="12" t="n"/>
      <c r="N149" s="11" t="n"/>
    </row>
    <row r="150">
      <c r="A150" s="10" t="n"/>
      <c r="B150" s="11" t="n"/>
      <c r="C150" s="12" t="n"/>
      <c r="D150" s="11" t="n"/>
      <c r="E150" s="13">
        <f>IF($A150="","",IFERROR(TEXTJOIN(CHAR(10),TRUE,FILTER('Learning Objectives'!$D$2:$D$500,'Learning Objectives'!$A$2:$A$500="8–10 Years",'Learning Objectives'!$B$2:$B$500=$A150)),""))</f>
        <v/>
      </c>
      <c r="F150" s="11" t="n"/>
      <c r="G150" s="12" t="n"/>
      <c r="H150" s="12" t="n"/>
      <c r="I150" s="11" t="n"/>
      <c r="J150" s="11" t="n"/>
      <c r="K150" s="11" t="n"/>
      <c r="L150" s="12" t="n"/>
      <c r="M150" s="12" t="n"/>
      <c r="N150" s="11" t="n"/>
    </row>
    <row r="151">
      <c r="A151" s="10" t="n"/>
      <c r="B151" s="11" t="n"/>
      <c r="C151" s="12" t="n"/>
      <c r="D151" s="11" t="n"/>
      <c r="E151" s="13">
        <f>IF($A151="","",IFERROR(TEXTJOIN(CHAR(10),TRUE,FILTER('Learning Objectives'!$D$2:$D$500,'Learning Objectives'!$A$2:$A$500="8–10 Years",'Learning Objectives'!$B$2:$B$500=$A151)),""))</f>
        <v/>
      </c>
      <c r="F151" s="11" t="n"/>
      <c r="G151" s="12" t="n"/>
      <c r="H151" s="12" t="n"/>
      <c r="I151" s="11" t="n"/>
      <c r="J151" s="11" t="n"/>
      <c r="K151" s="11" t="n"/>
      <c r="L151" s="12" t="n"/>
      <c r="M151" s="12" t="n"/>
      <c r="N151" s="11" t="n"/>
    </row>
    <row r="152">
      <c r="A152" s="10" t="n"/>
      <c r="B152" s="11" t="n"/>
      <c r="C152" s="12" t="n"/>
      <c r="D152" s="11" t="n"/>
      <c r="E152" s="13">
        <f>IF($A152="","",IFERROR(TEXTJOIN(CHAR(10),TRUE,FILTER('Learning Objectives'!$D$2:$D$500,'Learning Objectives'!$A$2:$A$500="8–10 Years",'Learning Objectives'!$B$2:$B$500=$A152)),""))</f>
        <v/>
      </c>
      <c r="F152" s="11" t="n"/>
      <c r="G152" s="12" t="n"/>
      <c r="H152" s="12" t="n"/>
      <c r="I152" s="11" t="n"/>
      <c r="J152" s="11" t="n"/>
      <c r="K152" s="11" t="n"/>
      <c r="L152" s="12" t="n"/>
      <c r="M152" s="12" t="n"/>
      <c r="N152" s="11" t="n"/>
    </row>
    <row r="153">
      <c r="A153" s="10" t="n"/>
      <c r="B153" s="11" t="n"/>
      <c r="C153" s="12" t="n"/>
      <c r="D153" s="11" t="n"/>
      <c r="E153" s="13">
        <f>IF($A153="","",IFERROR(TEXTJOIN(CHAR(10),TRUE,FILTER('Learning Objectives'!$D$2:$D$500,'Learning Objectives'!$A$2:$A$500="8–10 Years",'Learning Objectives'!$B$2:$B$500=$A153)),""))</f>
        <v/>
      </c>
      <c r="F153" s="11" t="n"/>
      <c r="G153" s="12" t="n"/>
      <c r="H153" s="12" t="n"/>
      <c r="I153" s="11" t="n"/>
      <c r="J153" s="11" t="n"/>
      <c r="K153" s="11" t="n"/>
      <c r="L153" s="12" t="n"/>
      <c r="M153" s="12" t="n"/>
      <c r="N153" s="11" t="n"/>
    </row>
    <row r="154">
      <c r="A154" s="10" t="n"/>
      <c r="B154" s="11" t="n"/>
      <c r="C154" s="12" t="n"/>
      <c r="D154" s="11" t="n"/>
      <c r="E154" s="13">
        <f>IF($A154="","",IFERROR(TEXTJOIN(CHAR(10),TRUE,FILTER('Learning Objectives'!$D$2:$D$500,'Learning Objectives'!$A$2:$A$500="8–10 Years",'Learning Objectives'!$B$2:$B$500=$A154)),""))</f>
        <v/>
      </c>
      <c r="F154" s="11" t="n"/>
      <c r="G154" s="12" t="n"/>
      <c r="H154" s="12" t="n"/>
      <c r="I154" s="11" t="n"/>
      <c r="J154" s="11" t="n"/>
      <c r="K154" s="11" t="n"/>
      <c r="L154" s="12" t="n"/>
      <c r="M154" s="12" t="n"/>
      <c r="N154" s="11" t="n"/>
    </row>
    <row r="155">
      <c r="A155" s="10" t="n"/>
      <c r="B155" s="11" t="n"/>
      <c r="C155" s="12" t="n"/>
      <c r="D155" s="11" t="n"/>
      <c r="E155" s="13">
        <f>IF($A155="","",IFERROR(TEXTJOIN(CHAR(10),TRUE,FILTER('Learning Objectives'!$D$2:$D$500,'Learning Objectives'!$A$2:$A$500="8–10 Years",'Learning Objectives'!$B$2:$B$500=$A155)),""))</f>
        <v/>
      </c>
      <c r="F155" s="11" t="n"/>
      <c r="G155" s="12" t="n"/>
      <c r="H155" s="12" t="n"/>
      <c r="I155" s="11" t="n"/>
      <c r="J155" s="11" t="n"/>
      <c r="K155" s="11" t="n"/>
      <c r="L155" s="12" t="n"/>
      <c r="M155" s="12" t="n"/>
      <c r="N155" s="11" t="n"/>
    </row>
    <row r="156">
      <c r="A156" s="10" t="n"/>
      <c r="B156" s="11" t="n"/>
      <c r="C156" s="12" t="n"/>
      <c r="D156" s="11" t="n"/>
      <c r="E156" s="13">
        <f>IF($A156="","",IFERROR(TEXTJOIN(CHAR(10),TRUE,FILTER('Learning Objectives'!$D$2:$D$500,'Learning Objectives'!$A$2:$A$500="8–10 Years",'Learning Objectives'!$B$2:$B$500=$A156)),""))</f>
        <v/>
      </c>
      <c r="F156" s="11" t="n"/>
      <c r="G156" s="12" t="n"/>
      <c r="H156" s="12" t="n"/>
      <c r="I156" s="11" t="n"/>
      <c r="J156" s="11" t="n"/>
      <c r="K156" s="11" t="n"/>
      <c r="L156" s="12" t="n"/>
      <c r="M156" s="12" t="n"/>
      <c r="N156" s="11" t="n"/>
    </row>
    <row r="157">
      <c r="A157" s="10" t="n"/>
      <c r="B157" s="11" t="n"/>
      <c r="C157" s="12" t="n"/>
      <c r="D157" s="11" t="n"/>
      <c r="E157" s="13">
        <f>IF($A157="","",IFERROR(TEXTJOIN(CHAR(10),TRUE,FILTER('Learning Objectives'!$D$2:$D$500,'Learning Objectives'!$A$2:$A$500="8–10 Years",'Learning Objectives'!$B$2:$B$500=$A157)),""))</f>
        <v/>
      </c>
      <c r="F157" s="11" t="n"/>
      <c r="G157" s="12" t="n"/>
      <c r="H157" s="12" t="n"/>
      <c r="I157" s="11" t="n"/>
      <c r="J157" s="11" t="n"/>
      <c r="K157" s="11" t="n"/>
      <c r="L157" s="12" t="n"/>
      <c r="M157" s="12" t="n"/>
      <c r="N157" s="11" t="n"/>
    </row>
    <row r="158">
      <c r="A158" s="10" t="n"/>
      <c r="B158" s="11" t="n"/>
      <c r="C158" s="12" t="n"/>
      <c r="D158" s="11" t="n"/>
      <c r="E158" s="13">
        <f>IF($A158="","",IFERROR(TEXTJOIN(CHAR(10),TRUE,FILTER('Learning Objectives'!$D$2:$D$500,'Learning Objectives'!$A$2:$A$500="8–10 Years",'Learning Objectives'!$B$2:$B$500=$A158)),""))</f>
        <v/>
      </c>
      <c r="F158" s="11" t="n"/>
      <c r="G158" s="12" t="n"/>
      <c r="H158" s="12" t="n"/>
      <c r="I158" s="11" t="n"/>
      <c r="J158" s="11" t="n"/>
      <c r="K158" s="11" t="n"/>
      <c r="L158" s="12" t="n"/>
      <c r="M158" s="12" t="n"/>
      <c r="N158" s="11" t="n"/>
    </row>
    <row r="159">
      <c r="A159" s="10" t="n"/>
      <c r="B159" s="11" t="n"/>
      <c r="C159" s="12" t="n"/>
      <c r="D159" s="11" t="n"/>
      <c r="E159" s="13">
        <f>IF($A159="","",IFERROR(TEXTJOIN(CHAR(10),TRUE,FILTER('Learning Objectives'!$D$2:$D$500,'Learning Objectives'!$A$2:$A$500="8–10 Years",'Learning Objectives'!$B$2:$B$500=$A159)),""))</f>
        <v/>
      </c>
      <c r="F159" s="11" t="n"/>
      <c r="G159" s="12" t="n"/>
      <c r="H159" s="12" t="n"/>
      <c r="I159" s="11" t="n"/>
      <c r="J159" s="11" t="n"/>
      <c r="K159" s="11" t="n"/>
      <c r="L159" s="12" t="n"/>
      <c r="M159" s="12" t="n"/>
      <c r="N159" s="11" t="n"/>
    </row>
    <row r="160">
      <c r="A160" s="10" t="n"/>
      <c r="B160" s="11" t="n"/>
      <c r="C160" s="12" t="n"/>
      <c r="D160" s="11" t="n"/>
      <c r="E160" s="13">
        <f>IF($A160="","",IFERROR(TEXTJOIN(CHAR(10),TRUE,FILTER('Learning Objectives'!$D$2:$D$500,'Learning Objectives'!$A$2:$A$500="8–10 Years",'Learning Objectives'!$B$2:$B$500=$A160)),""))</f>
        <v/>
      </c>
      <c r="F160" s="11" t="n"/>
      <c r="G160" s="12" t="n"/>
      <c r="H160" s="12" t="n"/>
      <c r="I160" s="11" t="n"/>
      <c r="J160" s="11" t="n"/>
      <c r="K160" s="11" t="n"/>
      <c r="L160" s="12" t="n"/>
      <c r="M160" s="12" t="n"/>
      <c r="N160" s="11" t="n"/>
    </row>
    <row r="161">
      <c r="A161" s="10" t="n"/>
      <c r="B161" s="11" t="n"/>
      <c r="C161" s="12" t="n"/>
      <c r="D161" s="11" t="n"/>
      <c r="E161" s="13">
        <f>IF($A161="","",IFERROR(TEXTJOIN(CHAR(10),TRUE,FILTER('Learning Objectives'!$D$2:$D$500,'Learning Objectives'!$A$2:$A$500="8–10 Years",'Learning Objectives'!$B$2:$B$500=$A161)),""))</f>
        <v/>
      </c>
      <c r="F161" s="11" t="n"/>
      <c r="G161" s="12" t="n"/>
      <c r="H161" s="12" t="n"/>
      <c r="I161" s="11" t="n"/>
      <c r="J161" s="11" t="n"/>
      <c r="K161" s="11" t="n"/>
      <c r="L161" s="12" t="n"/>
      <c r="M161" s="12" t="n"/>
      <c r="N161" s="11" t="n"/>
    </row>
    <row r="162">
      <c r="A162" s="10" t="n"/>
      <c r="B162" s="11" t="n"/>
      <c r="C162" s="12" t="n"/>
      <c r="D162" s="11" t="n"/>
      <c r="E162" s="13">
        <f>IF($A162="","",IFERROR(TEXTJOIN(CHAR(10),TRUE,FILTER('Learning Objectives'!$D$2:$D$500,'Learning Objectives'!$A$2:$A$500="8–10 Years",'Learning Objectives'!$B$2:$B$500=$A162)),""))</f>
        <v/>
      </c>
      <c r="F162" s="11" t="n"/>
      <c r="G162" s="12" t="n"/>
      <c r="H162" s="12" t="n"/>
      <c r="I162" s="11" t="n"/>
      <c r="J162" s="11" t="n"/>
      <c r="K162" s="11" t="n"/>
      <c r="L162" s="12" t="n"/>
      <c r="M162" s="12" t="n"/>
      <c r="N162" s="11" t="n"/>
    </row>
    <row r="163">
      <c r="A163" s="10" t="n"/>
      <c r="B163" s="11" t="n"/>
      <c r="C163" s="12" t="n"/>
      <c r="D163" s="11" t="n"/>
      <c r="E163" s="13">
        <f>IF($A163="","",IFERROR(TEXTJOIN(CHAR(10),TRUE,FILTER('Learning Objectives'!$D$2:$D$500,'Learning Objectives'!$A$2:$A$500="8–10 Years",'Learning Objectives'!$B$2:$B$500=$A163)),""))</f>
        <v/>
      </c>
      <c r="F163" s="11" t="n"/>
      <c r="G163" s="12" t="n"/>
      <c r="H163" s="12" t="n"/>
      <c r="I163" s="11" t="n"/>
      <c r="J163" s="11" t="n"/>
      <c r="K163" s="11" t="n"/>
      <c r="L163" s="12" t="n"/>
      <c r="M163" s="12" t="n"/>
      <c r="N163" s="11" t="n"/>
    </row>
    <row r="164">
      <c r="A164" s="10" t="n"/>
      <c r="B164" s="11" t="n"/>
      <c r="C164" s="12" t="n"/>
      <c r="D164" s="11" t="n"/>
      <c r="E164" s="13">
        <f>IF($A164="","",IFERROR(TEXTJOIN(CHAR(10),TRUE,FILTER('Learning Objectives'!$D$2:$D$500,'Learning Objectives'!$A$2:$A$500="8–10 Years",'Learning Objectives'!$B$2:$B$500=$A164)),""))</f>
        <v/>
      </c>
      <c r="F164" s="11" t="n"/>
      <c r="G164" s="12" t="n"/>
      <c r="H164" s="12" t="n"/>
      <c r="I164" s="11" t="n"/>
      <c r="J164" s="11" t="n"/>
      <c r="K164" s="11" t="n"/>
      <c r="L164" s="12" t="n"/>
      <c r="M164" s="12" t="n"/>
      <c r="N164" s="11" t="n"/>
    </row>
    <row r="165">
      <c r="A165" s="10" t="n"/>
      <c r="B165" s="11" t="n"/>
      <c r="C165" s="12" t="n"/>
      <c r="D165" s="11" t="n"/>
      <c r="E165" s="13">
        <f>IF($A165="","",IFERROR(TEXTJOIN(CHAR(10),TRUE,FILTER('Learning Objectives'!$D$2:$D$500,'Learning Objectives'!$A$2:$A$500="8–10 Years",'Learning Objectives'!$B$2:$B$500=$A165)),""))</f>
        <v/>
      </c>
      <c r="F165" s="11" t="n"/>
      <c r="G165" s="12" t="n"/>
      <c r="H165" s="12" t="n"/>
      <c r="I165" s="11" t="n"/>
      <c r="J165" s="11" t="n"/>
      <c r="K165" s="11" t="n"/>
      <c r="L165" s="12" t="n"/>
      <c r="M165" s="12" t="n"/>
      <c r="N165" s="11" t="n"/>
    </row>
    <row r="166">
      <c r="A166" s="10" t="n"/>
      <c r="B166" s="11" t="n"/>
      <c r="C166" s="12" t="n"/>
      <c r="D166" s="11" t="n"/>
      <c r="E166" s="13">
        <f>IF($A166="","",IFERROR(TEXTJOIN(CHAR(10),TRUE,FILTER('Learning Objectives'!$D$2:$D$500,'Learning Objectives'!$A$2:$A$500="8–10 Years",'Learning Objectives'!$B$2:$B$500=$A166)),""))</f>
        <v/>
      </c>
      <c r="F166" s="11" t="n"/>
      <c r="G166" s="12" t="n"/>
      <c r="H166" s="12" t="n"/>
      <c r="I166" s="11" t="n"/>
      <c r="J166" s="11" t="n"/>
      <c r="K166" s="11" t="n"/>
      <c r="L166" s="12" t="n"/>
      <c r="M166" s="12" t="n"/>
      <c r="N166" s="11" t="n"/>
    </row>
    <row r="167">
      <c r="A167" s="10" t="n"/>
      <c r="B167" s="11" t="n"/>
      <c r="C167" s="12" t="n"/>
      <c r="D167" s="11" t="n"/>
      <c r="E167" s="13">
        <f>IF($A167="","",IFERROR(TEXTJOIN(CHAR(10),TRUE,FILTER('Learning Objectives'!$D$2:$D$500,'Learning Objectives'!$A$2:$A$500="8–10 Years",'Learning Objectives'!$B$2:$B$500=$A167)),""))</f>
        <v/>
      </c>
      <c r="F167" s="11" t="n"/>
      <c r="G167" s="12" t="n"/>
      <c r="H167" s="12" t="n"/>
      <c r="I167" s="11" t="n"/>
      <c r="J167" s="11" t="n"/>
      <c r="K167" s="11" t="n"/>
      <c r="L167" s="12" t="n"/>
      <c r="M167" s="12" t="n"/>
      <c r="N167" s="11" t="n"/>
    </row>
    <row r="168">
      <c r="A168" s="10" t="n"/>
      <c r="B168" s="11" t="n"/>
      <c r="C168" s="12" t="n"/>
      <c r="D168" s="11" t="n"/>
      <c r="E168" s="13">
        <f>IF($A168="","",IFERROR(TEXTJOIN(CHAR(10),TRUE,FILTER('Learning Objectives'!$D$2:$D$500,'Learning Objectives'!$A$2:$A$500="8–10 Years",'Learning Objectives'!$B$2:$B$500=$A168)),""))</f>
        <v/>
      </c>
      <c r="F168" s="11" t="n"/>
      <c r="G168" s="12" t="n"/>
      <c r="H168" s="12" t="n"/>
      <c r="I168" s="11" t="n"/>
      <c r="J168" s="11" t="n"/>
      <c r="K168" s="11" t="n"/>
      <c r="L168" s="12" t="n"/>
      <c r="M168" s="12" t="n"/>
      <c r="N168" s="11" t="n"/>
    </row>
    <row r="169">
      <c r="A169" s="10" t="n"/>
      <c r="B169" s="11" t="n"/>
      <c r="C169" s="12" t="n"/>
      <c r="D169" s="11" t="n"/>
      <c r="E169" s="13">
        <f>IF($A169="","",IFERROR(TEXTJOIN(CHAR(10),TRUE,FILTER('Learning Objectives'!$D$2:$D$500,'Learning Objectives'!$A$2:$A$500="8–10 Years",'Learning Objectives'!$B$2:$B$500=$A169)),""))</f>
        <v/>
      </c>
      <c r="F169" s="11" t="n"/>
      <c r="G169" s="12" t="n"/>
      <c r="H169" s="12" t="n"/>
      <c r="I169" s="11" t="n"/>
      <c r="J169" s="11" t="n"/>
      <c r="K169" s="11" t="n"/>
      <c r="L169" s="12" t="n"/>
      <c r="M169" s="12" t="n"/>
      <c r="N169" s="11" t="n"/>
    </row>
    <row r="170">
      <c r="A170" s="10" t="n"/>
      <c r="B170" s="11" t="n"/>
      <c r="C170" s="12" t="n"/>
      <c r="D170" s="11" t="n"/>
      <c r="E170" s="13">
        <f>IF($A170="","",IFERROR(TEXTJOIN(CHAR(10),TRUE,FILTER('Learning Objectives'!$D$2:$D$500,'Learning Objectives'!$A$2:$A$500="8–10 Years",'Learning Objectives'!$B$2:$B$500=$A170)),""))</f>
        <v/>
      </c>
      <c r="F170" s="11" t="n"/>
      <c r="G170" s="12" t="n"/>
      <c r="H170" s="12" t="n"/>
      <c r="I170" s="11" t="n"/>
      <c r="J170" s="11" t="n"/>
      <c r="K170" s="11" t="n"/>
      <c r="L170" s="12" t="n"/>
      <c r="M170" s="12" t="n"/>
      <c r="N170" s="11" t="n"/>
    </row>
    <row r="171">
      <c r="A171" s="10" t="n"/>
      <c r="B171" s="11" t="n"/>
      <c r="C171" s="12" t="n"/>
      <c r="D171" s="11" t="n"/>
      <c r="E171" s="13">
        <f>IF($A171="","",IFERROR(TEXTJOIN(CHAR(10),TRUE,FILTER('Learning Objectives'!$D$2:$D$500,'Learning Objectives'!$A$2:$A$500="8–10 Years",'Learning Objectives'!$B$2:$B$500=$A171)),""))</f>
        <v/>
      </c>
      <c r="F171" s="11" t="n"/>
      <c r="G171" s="12" t="n"/>
      <c r="H171" s="12" t="n"/>
      <c r="I171" s="11" t="n"/>
      <c r="J171" s="11" t="n"/>
      <c r="K171" s="11" t="n"/>
      <c r="L171" s="12" t="n"/>
      <c r="M171" s="12" t="n"/>
      <c r="N171" s="11" t="n"/>
    </row>
    <row r="172">
      <c r="A172" s="10" t="n"/>
      <c r="B172" s="11" t="n"/>
      <c r="C172" s="12" t="n"/>
      <c r="D172" s="11" t="n"/>
      <c r="E172" s="13">
        <f>IF($A172="","",IFERROR(TEXTJOIN(CHAR(10),TRUE,FILTER('Learning Objectives'!$D$2:$D$500,'Learning Objectives'!$A$2:$A$500="8–10 Years",'Learning Objectives'!$B$2:$B$500=$A172)),""))</f>
        <v/>
      </c>
      <c r="F172" s="11" t="n"/>
      <c r="G172" s="12" t="n"/>
      <c r="H172" s="12" t="n"/>
      <c r="I172" s="11" t="n"/>
      <c r="J172" s="11" t="n"/>
      <c r="K172" s="11" t="n"/>
      <c r="L172" s="12" t="n"/>
      <c r="M172" s="12" t="n"/>
      <c r="N172" s="11" t="n"/>
    </row>
    <row r="173">
      <c r="A173" s="10" t="n"/>
      <c r="B173" s="11" t="n"/>
      <c r="C173" s="12" t="n"/>
      <c r="D173" s="11" t="n"/>
      <c r="E173" s="13">
        <f>IF($A173="","",IFERROR(TEXTJOIN(CHAR(10),TRUE,FILTER('Learning Objectives'!$D$2:$D$500,'Learning Objectives'!$A$2:$A$500="8–10 Years",'Learning Objectives'!$B$2:$B$500=$A173)),""))</f>
        <v/>
      </c>
      <c r="F173" s="11" t="n"/>
      <c r="G173" s="12" t="n"/>
      <c r="H173" s="12" t="n"/>
      <c r="I173" s="11" t="n"/>
      <c r="J173" s="11" t="n"/>
      <c r="K173" s="11" t="n"/>
      <c r="L173" s="12" t="n"/>
      <c r="M173" s="12" t="n"/>
      <c r="N173" s="11" t="n"/>
    </row>
    <row r="174">
      <c r="A174" s="10" t="n"/>
      <c r="B174" s="11" t="n"/>
      <c r="C174" s="12" t="n"/>
      <c r="D174" s="11" t="n"/>
      <c r="E174" s="13">
        <f>IF($A174="","",IFERROR(TEXTJOIN(CHAR(10),TRUE,FILTER('Learning Objectives'!$D$2:$D$500,'Learning Objectives'!$A$2:$A$500="8–10 Years",'Learning Objectives'!$B$2:$B$500=$A174)),""))</f>
        <v/>
      </c>
      <c r="F174" s="11" t="n"/>
      <c r="G174" s="12" t="n"/>
      <c r="H174" s="12" t="n"/>
      <c r="I174" s="11" t="n"/>
      <c r="J174" s="11" t="n"/>
      <c r="K174" s="11" t="n"/>
      <c r="L174" s="12" t="n"/>
      <c r="M174" s="12" t="n"/>
      <c r="N174" s="11" t="n"/>
    </row>
    <row r="175">
      <c r="A175" s="10" t="n"/>
      <c r="B175" s="11" t="n"/>
      <c r="C175" s="12" t="n"/>
      <c r="D175" s="11" t="n"/>
      <c r="E175" s="13">
        <f>IF($A175="","",IFERROR(TEXTJOIN(CHAR(10),TRUE,FILTER('Learning Objectives'!$D$2:$D$500,'Learning Objectives'!$A$2:$A$500="8–10 Years",'Learning Objectives'!$B$2:$B$500=$A175)),""))</f>
        <v/>
      </c>
      <c r="F175" s="11" t="n"/>
      <c r="G175" s="12" t="n"/>
      <c r="H175" s="12" t="n"/>
      <c r="I175" s="11" t="n"/>
      <c r="J175" s="11" t="n"/>
      <c r="K175" s="11" t="n"/>
      <c r="L175" s="12" t="n"/>
      <c r="M175" s="12" t="n"/>
      <c r="N175" s="11" t="n"/>
    </row>
    <row r="176">
      <c r="A176" s="10" t="n"/>
      <c r="B176" s="11" t="n"/>
      <c r="C176" s="12" t="n"/>
      <c r="D176" s="11" t="n"/>
      <c r="E176" s="13">
        <f>IF($A176="","",IFERROR(TEXTJOIN(CHAR(10),TRUE,FILTER('Learning Objectives'!$D$2:$D$500,'Learning Objectives'!$A$2:$A$500="8–10 Years",'Learning Objectives'!$B$2:$B$500=$A176)),""))</f>
        <v/>
      </c>
      <c r="F176" s="11" t="n"/>
      <c r="G176" s="12" t="n"/>
      <c r="H176" s="12" t="n"/>
      <c r="I176" s="11" t="n"/>
      <c r="J176" s="11" t="n"/>
      <c r="K176" s="11" t="n"/>
      <c r="L176" s="12" t="n"/>
      <c r="M176" s="12" t="n"/>
      <c r="N176" s="11" t="n"/>
    </row>
    <row r="177">
      <c r="A177" s="10" t="n"/>
      <c r="B177" s="11" t="n"/>
      <c r="C177" s="12" t="n"/>
      <c r="D177" s="11" t="n"/>
      <c r="E177" s="13">
        <f>IF($A177="","",IFERROR(TEXTJOIN(CHAR(10),TRUE,FILTER('Learning Objectives'!$D$2:$D$500,'Learning Objectives'!$A$2:$A$500="8–10 Years",'Learning Objectives'!$B$2:$B$500=$A177)),""))</f>
        <v/>
      </c>
      <c r="F177" s="11" t="n"/>
      <c r="G177" s="12" t="n"/>
      <c r="H177" s="12" t="n"/>
      <c r="I177" s="11" t="n"/>
      <c r="J177" s="11" t="n"/>
      <c r="K177" s="11" t="n"/>
      <c r="L177" s="12" t="n"/>
      <c r="M177" s="12" t="n"/>
      <c r="N177" s="11" t="n"/>
    </row>
    <row r="178">
      <c r="A178" s="10" t="n"/>
      <c r="B178" s="11" t="n"/>
      <c r="C178" s="12" t="n"/>
      <c r="D178" s="11" t="n"/>
      <c r="E178" s="13">
        <f>IF($A178="","",IFERROR(TEXTJOIN(CHAR(10),TRUE,FILTER('Learning Objectives'!$D$2:$D$500,'Learning Objectives'!$A$2:$A$500="8–10 Years",'Learning Objectives'!$B$2:$B$500=$A178)),""))</f>
        <v/>
      </c>
      <c r="F178" s="11" t="n"/>
      <c r="G178" s="12" t="n"/>
      <c r="H178" s="12" t="n"/>
      <c r="I178" s="11" t="n"/>
      <c r="J178" s="11" t="n"/>
      <c r="K178" s="11" t="n"/>
      <c r="L178" s="12" t="n"/>
      <c r="M178" s="12" t="n"/>
      <c r="N178" s="11" t="n"/>
    </row>
    <row r="179">
      <c r="A179" s="10" t="n"/>
      <c r="B179" s="11" t="n"/>
      <c r="C179" s="12" t="n"/>
      <c r="D179" s="11" t="n"/>
      <c r="E179" s="13">
        <f>IF($A179="","",IFERROR(TEXTJOIN(CHAR(10),TRUE,FILTER('Learning Objectives'!$D$2:$D$500,'Learning Objectives'!$A$2:$A$500="8–10 Years",'Learning Objectives'!$B$2:$B$500=$A179)),""))</f>
        <v/>
      </c>
      <c r="F179" s="11" t="n"/>
      <c r="G179" s="12" t="n"/>
      <c r="H179" s="12" t="n"/>
      <c r="I179" s="11" t="n"/>
      <c r="J179" s="11" t="n"/>
      <c r="K179" s="11" t="n"/>
      <c r="L179" s="12" t="n"/>
      <c r="M179" s="12" t="n"/>
      <c r="N179" s="11" t="n"/>
    </row>
    <row r="180">
      <c r="A180" s="10" t="n"/>
      <c r="B180" s="11" t="n"/>
      <c r="C180" s="12" t="n"/>
      <c r="D180" s="11" t="n"/>
      <c r="E180" s="13">
        <f>IF($A180="","",IFERROR(TEXTJOIN(CHAR(10),TRUE,FILTER('Learning Objectives'!$D$2:$D$500,'Learning Objectives'!$A$2:$A$500="8–10 Years",'Learning Objectives'!$B$2:$B$500=$A180)),""))</f>
        <v/>
      </c>
      <c r="F180" s="11" t="n"/>
      <c r="G180" s="12" t="n"/>
      <c r="H180" s="12" t="n"/>
      <c r="I180" s="11" t="n"/>
      <c r="J180" s="11" t="n"/>
      <c r="K180" s="11" t="n"/>
      <c r="L180" s="12" t="n"/>
      <c r="M180" s="12" t="n"/>
      <c r="N180" s="11" t="n"/>
    </row>
    <row r="181">
      <c r="A181" s="10" t="n"/>
      <c r="B181" s="11" t="n"/>
      <c r="C181" s="12" t="n"/>
      <c r="D181" s="11" t="n"/>
      <c r="E181" s="13">
        <f>IF($A181="","",IFERROR(TEXTJOIN(CHAR(10),TRUE,FILTER('Learning Objectives'!$D$2:$D$500,'Learning Objectives'!$A$2:$A$500="8–10 Years",'Learning Objectives'!$B$2:$B$500=$A181)),""))</f>
        <v/>
      </c>
      <c r="F181" s="11" t="n"/>
      <c r="G181" s="12" t="n"/>
      <c r="H181" s="12" t="n"/>
      <c r="I181" s="11" t="n"/>
      <c r="J181" s="11" t="n"/>
      <c r="K181" s="11" t="n"/>
      <c r="L181" s="12" t="n"/>
      <c r="M181" s="12" t="n"/>
      <c r="N181" s="11" t="n"/>
    </row>
    <row r="182">
      <c r="A182" s="10" t="n"/>
      <c r="B182" s="11" t="n"/>
      <c r="C182" s="12" t="n"/>
      <c r="D182" s="11" t="n"/>
      <c r="E182" s="13">
        <f>IF($A182="","",IFERROR(TEXTJOIN(CHAR(10),TRUE,FILTER('Learning Objectives'!$D$2:$D$500,'Learning Objectives'!$A$2:$A$500="8–10 Years",'Learning Objectives'!$B$2:$B$500=$A182)),""))</f>
        <v/>
      </c>
      <c r="F182" s="11" t="n"/>
      <c r="G182" s="12" t="n"/>
      <c r="H182" s="12" t="n"/>
      <c r="I182" s="11" t="n"/>
      <c r="J182" s="11" t="n"/>
      <c r="K182" s="11" t="n"/>
      <c r="L182" s="12" t="n"/>
      <c r="M182" s="12" t="n"/>
      <c r="N182" s="11" t="n"/>
    </row>
    <row r="183">
      <c r="A183" s="10" t="n"/>
      <c r="B183" s="11" t="n"/>
      <c r="C183" s="12" t="n"/>
      <c r="D183" s="11" t="n"/>
      <c r="E183" s="13">
        <f>IF($A183="","",IFERROR(TEXTJOIN(CHAR(10),TRUE,FILTER('Learning Objectives'!$D$2:$D$500,'Learning Objectives'!$A$2:$A$500="8–10 Years",'Learning Objectives'!$B$2:$B$500=$A183)),""))</f>
        <v/>
      </c>
      <c r="F183" s="11" t="n"/>
      <c r="G183" s="12" t="n"/>
      <c r="H183" s="12" t="n"/>
      <c r="I183" s="11" t="n"/>
      <c r="J183" s="11" t="n"/>
      <c r="K183" s="11" t="n"/>
      <c r="L183" s="12" t="n"/>
      <c r="M183" s="12" t="n"/>
      <c r="N183" s="11" t="n"/>
    </row>
    <row r="184">
      <c r="A184" s="10" t="n"/>
      <c r="B184" s="11" t="n"/>
      <c r="C184" s="12" t="n"/>
      <c r="D184" s="11" t="n"/>
      <c r="E184" s="13">
        <f>IF($A184="","",IFERROR(TEXTJOIN(CHAR(10),TRUE,FILTER('Learning Objectives'!$D$2:$D$500,'Learning Objectives'!$A$2:$A$500="8–10 Years",'Learning Objectives'!$B$2:$B$500=$A184)),""))</f>
        <v/>
      </c>
      <c r="F184" s="11" t="n"/>
      <c r="G184" s="12" t="n"/>
      <c r="H184" s="12" t="n"/>
      <c r="I184" s="11" t="n"/>
      <c r="J184" s="11" t="n"/>
      <c r="K184" s="11" t="n"/>
      <c r="L184" s="12" t="n"/>
      <c r="M184" s="12" t="n"/>
      <c r="N184" s="11" t="n"/>
    </row>
    <row r="185">
      <c r="A185" s="10" t="n"/>
      <c r="B185" s="11" t="n"/>
      <c r="C185" s="12" t="n"/>
      <c r="D185" s="11" t="n"/>
      <c r="E185" s="13">
        <f>IF($A185="","",IFERROR(TEXTJOIN(CHAR(10),TRUE,FILTER('Learning Objectives'!$D$2:$D$500,'Learning Objectives'!$A$2:$A$500="8–10 Years",'Learning Objectives'!$B$2:$B$500=$A185)),""))</f>
        <v/>
      </c>
      <c r="F185" s="11" t="n"/>
      <c r="G185" s="12" t="n"/>
      <c r="H185" s="12" t="n"/>
      <c r="I185" s="11" t="n"/>
      <c r="J185" s="11" t="n"/>
      <c r="K185" s="11" t="n"/>
      <c r="L185" s="12" t="n"/>
      <c r="M185" s="12" t="n"/>
      <c r="N185" s="11" t="n"/>
    </row>
    <row r="186">
      <c r="A186" s="10" t="n"/>
      <c r="B186" s="11" t="n"/>
      <c r="C186" s="12" t="n"/>
      <c r="D186" s="11" t="n"/>
      <c r="E186" s="13">
        <f>IF($A186="","",IFERROR(TEXTJOIN(CHAR(10),TRUE,FILTER('Learning Objectives'!$D$2:$D$500,'Learning Objectives'!$A$2:$A$500="8–10 Years",'Learning Objectives'!$B$2:$B$500=$A186)),""))</f>
        <v/>
      </c>
      <c r="F186" s="11" t="n"/>
      <c r="G186" s="12" t="n"/>
      <c r="H186" s="12" t="n"/>
      <c r="I186" s="11" t="n"/>
      <c r="J186" s="11" t="n"/>
      <c r="K186" s="11" t="n"/>
      <c r="L186" s="12" t="n"/>
      <c r="M186" s="12" t="n"/>
      <c r="N186" s="11" t="n"/>
    </row>
    <row r="187">
      <c r="A187" s="10" t="n"/>
      <c r="B187" s="11" t="n"/>
      <c r="C187" s="12" t="n"/>
      <c r="D187" s="11" t="n"/>
      <c r="E187" s="13">
        <f>IF($A187="","",IFERROR(TEXTJOIN(CHAR(10),TRUE,FILTER('Learning Objectives'!$D$2:$D$500,'Learning Objectives'!$A$2:$A$500="8–10 Years",'Learning Objectives'!$B$2:$B$500=$A187)),""))</f>
        <v/>
      </c>
      <c r="F187" s="11" t="n"/>
      <c r="G187" s="12" t="n"/>
      <c r="H187" s="12" t="n"/>
      <c r="I187" s="11" t="n"/>
      <c r="J187" s="11" t="n"/>
      <c r="K187" s="11" t="n"/>
      <c r="L187" s="12" t="n"/>
      <c r="M187" s="12" t="n"/>
      <c r="N187" s="11" t="n"/>
    </row>
    <row r="188">
      <c r="A188" s="10" t="n"/>
      <c r="B188" s="11" t="n"/>
      <c r="C188" s="12" t="n"/>
      <c r="D188" s="11" t="n"/>
      <c r="E188" s="13">
        <f>IF($A188="","",IFERROR(TEXTJOIN(CHAR(10),TRUE,FILTER('Learning Objectives'!$D$2:$D$500,'Learning Objectives'!$A$2:$A$500="8–10 Years",'Learning Objectives'!$B$2:$B$500=$A188)),""))</f>
        <v/>
      </c>
      <c r="F188" s="11" t="n"/>
      <c r="G188" s="12" t="n"/>
      <c r="H188" s="12" t="n"/>
      <c r="I188" s="11" t="n"/>
      <c r="J188" s="11" t="n"/>
      <c r="K188" s="11" t="n"/>
      <c r="L188" s="12" t="n"/>
      <c r="M188" s="12" t="n"/>
      <c r="N188" s="11" t="n"/>
    </row>
    <row r="189">
      <c r="A189" s="10" t="n"/>
      <c r="B189" s="11" t="n"/>
      <c r="C189" s="12" t="n"/>
      <c r="D189" s="11" t="n"/>
      <c r="E189" s="13">
        <f>IF($A189="","",IFERROR(TEXTJOIN(CHAR(10),TRUE,FILTER('Learning Objectives'!$D$2:$D$500,'Learning Objectives'!$A$2:$A$500="8–10 Years",'Learning Objectives'!$B$2:$B$500=$A189)),""))</f>
        <v/>
      </c>
      <c r="F189" s="11" t="n"/>
      <c r="G189" s="12" t="n"/>
      <c r="H189" s="12" t="n"/>
      <c r="I189" s="11" t="n"/>
      <c r="J189" s="11" t="n"/>
      <c r="K189" s="11" t="n"/>
      <c r="L189" s="12" t="n"/>
      <c r="M189" s="12" t="n"/>
      <c r="N189" s="11" t="n"/>
    </row>
    <row r="190">
      <c r="A190" s="10" t="n"/>
      <c r="B190" s="11" t="n"/>
      <c r="C190" s="12" t="n"/>
      <c r="D190" s="11" t="n"/>
      <c r="E190" s="13">
        <f>IF($A190="","",IFERROR(TEXTJOIN(CHAR(10),TRUE,FILTER('Learning Objectives'!$D$2:$D$500,'Learning Objectives'!$A$2:$A$500="8–10 Years",'Learning Objectives'!$B$2:$B$500=$A190)),""))</f>
        <v/>
      </c>
      <c r="F190" s="11" t="n"/>
      <c r="G190" s="12" t="n"/>
      <c r="H190" s="12" t="n"/>
      <c r="I190" s="11" t="n"/>
      <c r="J190" s="11" t="n"/>
      <c r="K190" s="11" t="n"/>
      <c r="L190" s="12" t="n"/>
      <c r="M190" s="12" t="n"/>
      <c r="N190" s="11" t="n"/>
    </row>
    <row r="191">
      <c r="A191" s="10" t="n"/>
      <c r="B191" s="11" t="n"/>
      <c r="C191" s="12" t="n"/>
      <c r="D191" s="11" t="n"/>
      <c r="E191" s="13">
        <f>IF($A191="","",IFERROR(TEXTJOIN(CHAR(10),TRUE,FILTER('Learning Objectives'!$D$2:$D$500,'Learning Objectives'!$A$2:$A$500="8–10 Years",'Learning Objectives'!$B$2:$B$500=$A191)),""))</f>
        <v/>
      </c>
      <c r="F191" s="11" t="n"/>
      <c r="G191" s="12" t="n"/>
      <c r="H191" s="12" t="n"/>
      <c r="I191" s="11" t="n"/>
      <c r="J191" s="11" t="n"/>
      <c r="K191" s="11" t="n"/>
      <c r="L191" s="12" t="n"/>
      <c r="M191" s="12" t="n"/>
      <c r="N191" s="11" t="n"/>
    </row>
    <row r="192">
      <c r="A192" s="10" t="n"/>
      <c r="B192" s="11" t="n"/>
      <c r="C192" s="12" t="n"/>
      <c r="D192" s="11" t="n"/>
      <c r="E192" s="13">
        <f>IF($A192="","",IFERROR(TEXTJOIN(CHAR(10),TRUE,FILTER('Learning Objectives'!$D$2:$D$500,'Learning Objectives'!$A$2:$A$500="8–10 Years",'Learning Objectives'!$B$2:$B$500=$A192)),""))</f>
        <v/>
      </c>
      <c r="F192" s="11" t="n"/>
      <c r="G192" s="12" t="n"/>
      <c r="H192" s="12" t="n"/>
      <c r="I192" s="11" t="n"/>
      <c r="J192" s="11" t="n"/>
      <c r="K192" s="11" t="n"/>
      <c r="L192" s="12" t="n"/>
      <c r="M192" s="12" t="n"/>
      <c r="N192" s="11" t="n"/>
    </row>
    <row r="193">
      <c r="A193" s="10" t="n"/>
      <c r="B193" s="11" t="n"/>
      <c r="C193" s="12" t="n"/>
      <c r="D193" s="11" t="n"/>
      <c r="E193" s="13">
        <f>IF($A193="","",IFERROR(TEXTJOIN(CHAR(10),TRUE,FILTER('Learning Objectives'!$D$2:$D$500,'Learning Objectives'!$A$2:$A$500="8–10 Years",'Learning Objectives'!$B$2:$B$500=$A193)),""))</f>
        <v/>
      </c>
      <c r="F193" s="11" t="n"/>
      <c r="G193" s="12" t="n"/>
      <c r="H193" s="12" t="n"/>
      <c r="I193" s="11" t="n"/>
      <c r="J193" s="11" t="n"/>
      <c r="K193" s="11" t="n"/>
      <c r="L193" s="12" t="n"/>
      <c r="M193" s="12" t="n"/>
      <c r="N193" s="11" t="n"/>
    </row>
    <row r="194">
      <c r="A194" s="10" t="n"/>
      <c r="B194" s="11" t="n"/>
      <c r="C194" s="12" t="n"/>
      <c r="D194" s="11" t="n"/>
      <c r="E194" s="13">
        <f>IF($A194="","",IFERROR(TEXTJOIN(CHAR(10),TRUE,FILTER('Learning Objectives'!$D$2:$D$500,'Learning Objectives'!$A$2:$A$500="8–10 Years",'Learning Objectives'!$B$2:$B$500=$A194)),""))</f>
        <v/>
      </c>
      <c r="F194" s="11" t="n"/>
      <c r="G194" s="12" t="n"/>
      <c r="H194" s="12" t="n"/>
      <c r="I194" s="11" t="n"/>
      <c r="J194" s="11" t="n"/>
      <c r="K194" s="11" t="n"/>
      <c r="L194" s="12" t="n"/>
      <c r="M194" s="12" t="n"/>
      <c r="N194" s="11" t="n"/>
    </row>
    <row r="195">
      <c r="A195" s="10" t="n"/>
      <c r="B195" s="11" t="n"/>
      <c r="C195" s="12" t="n"/>
      <c r="D195" s="11" t="n"/>
      <c r="E195" s="13">
        <f>IF($A195="","",IFERROR(TEXTJOIN(CHAR(10),TRUE,FILTER('Learning Objectives'!$D$2:$D$500,'Learning Objectives'!$A$2:$A$500="8–10 Years",'Learning Objectives'!$B$2:$B$500=$A195)),""))</f>
        <v/>
      </c>
      <c r="F195" s="11" t="n"/>
      <c r="G195" s="12" t="n"/>
      <c r="H195" s="12" t="n"/>
      <c r="I195" s="11" t="n"/>
      <c r="J195" s="11" t="n"/>
      <c r="K195" s="11" t="n"/>
      <c r="L195" s="12" t="n"/>
      <c r="M195" s="12" t="n"/>
      <c r="N195" s="11" t="n"/>
    </row>
    <row r="196">
      <c r="A196" s="10" t="n"/>
      <c r="B196" s="11" t="n"/>
      <c r="C196" s="12" t="n"/>
      <c r="D196" s="11" t="n"/>
      <c r="E196" s="13">
        <f>IF($A196="","",IFERROR(TEXTJOIN(CHAR(10),TRUE,FILTER('Learning Objectives'!$D$2:$D$500,'Learning Objectives'!$A$2:$A$500="8–10 Years",'Learning Objectives'!$B$2:$B$500=$A196)),""))</f>
        <v/>
      </c>
      <c r="F196" s="11" t="n"/>
      <c r="G196" s="12" t="n"/>
      <c r="H196" s="12" t="n"/>
      <c r="I196" s="11" t="n"/>
      <c r="J196" s="11" t="n"/>
      <c r="K196" s="11" t="n"/>
      <c r="L196" s="12" t="n"/>
      <c r="M196" s="12" t="n"/>
      <c r="N196" s="11" t="n"/>
    </row>
    <row r="197">
      <c r="A197" s="10" t="n"/>
      <c r="B197" s="11" t="n"/>
      <c r="C197" s="12" t="n"/>
      <c r="D197" s="11" t="n"/>
      <c r="E197" s="13">
        <f>IF($A197="","",IFERROR(TEXTJOIN(CHAR(10),TRUE,FILTER('Learning Objectives'!$D$2:$D$500,'Learning Objectives'!$A$2:$A$500="8–10 Years",'Learning Objectives'!$B$2:$B$500=$A197)),""))</f>
        <v/>
      </c>
      <c r="F197" s="11" t="n"/>
      <c r="G197" s="12" t="n"/>
      <c r="H197" s="12" t="n"/>
      <c r="I197" s="11" t="n"/>
      <c r="J197" s="11" t="n"/>
      <c r="K197" s="11" t="n"/>
      <c r="L197" s="12" t="n"/>
      <c r="M197" s="12" t="n"/>
      <c r="N197" s="11" t="n"/>
    </row>
    <row r="198">
      <c r="A198" s="10" t="n"/>
      <c r="B198" s="11" t="n"/>
      <c r="C198" s="12" t="n"/>
      <c r="D198" s="11" t="n"/>
      <c r="E198" s="13">
        <f>IF($A198="","",IFERROR(TEXTJOIN(CHAR(10),TRUE,FILTER('Learning Objectives'!$D$2:$D$500,'Learning Objectives'!$A$2:$A$500="8–10 Years",'Learning Objectives'!$B$2:$B$500=$A198)),""))</f>
        <v/>
      </c>
      <c r="F198" s="11" t="n"/>
      <c r="G198" s="12" t="n"/>
      <c r="H198" s="12" t="n"/>
      <c r="I198" s="11" t="n"/>
      <c r="J198" s="11" t="n"/>
      <c r="K198" s="11" t="n"/>
      <c r="L198" s="12" t="n"/>
      <c r="M198" s="12" t="n"/>
      <c r="N198" s="11" t="n"/>
    </row>
    <row r="199">
      <c r="A199" s="10" t="n"/>
      <c r="B199" s="11" t="n"/>
      <c r="C199" s="12" t="n"/>
      <c r="D199" s="11" t="n"/>
      <c r="E199" s="13">
        <f>IF($A199="","",IFERROR(TEXTJOIN(CHAR(10),TRUE,FILTER('Learning Objectives'!$D$2:$D$500,'Learning Objectives'!$A$2:$A$500="8–10 Years",'Learning Objectives'!$B$2:$B$500=$A199)),""))</f>
        <v/>
      </c>
      <c r="F199" s="11" t="n"/>
      <c r="G199" s="12" t="n"/>
      <c r="H199" s="12" t="n"/>
      <c r="I199" s="11" t="n"/>
      <c r="J199" s="11" t="n"/>
      <c r="K199" s="11" t="n"/>
      <c r="L199" s="12" t="n"/>
      <c r="M199" s="12" t="n"/>
      <c r="N199" s="11" t="n"/>
    </row>
    <row r="200">
      <c r="A200" s="10" t="n"/>
      <c r="B200" s="11" t="n"/>
      <c r="C200" s="12" t="n"/>
      <c r="D200" s="11" t="n"/>
      <c r="E200" s="13">
        <f>IF($A200="","",IFERROR(TEXTJOIN(CHAR(10),TRUE,FILTER('Learning Objectives'!$D$2:$D$500,'Learning Objectives'!$A$2:$A$500="8–10 Years",'Learning Objectives'!$B$2:$B$500=$A200)),""))</f>
        <v/>
      </c>
      <c r="F200" s="11" t="n"/>
      <c r="G200" s="12" t="n"/>
      <c r="H200" s="12" t="n"/>
      <c r="I200" s="11" t="n"/>
      <c r="J200" s="11" t="n"/>
      <c r="K200" s="11" t="n"/>
      <c r="L200" s="12" t="n"/>
      <c r="M200" s="12" t="n"/>
      <c r="N200" s="11" t="n"/>
    </row>
    <row r="201">
      <c r="A201" s="10" t="n"/>
      <c r="B201" s="11" t="n"/>
      <c r="C201" s="12" t="n"/>
      <c r="D201" s="11" t="n"/>
      <c r="E201" s="13">
        <f>IF($A201="","",IFERROR(TEXTJOIN(CHAR(10),TRUE,FILTER('Learning Objectives'!$D$2:$D$500,'Learning Objectives'!$A$2:$A$500="8–10 Years",'Learning Objectives'!$B$2:$B$500=$A201)),""))</f>
        <v/>
      </c>
      <c r="F201" s="11" t="n"/>
      <c r="G201" s="12" t="n"/>
      <c r="H201" s="12" t="n"/>
      <c r="I201" s="11" t="n"/>
      <c r="J201" s="11" t="n"/>
      <c r="K201" s="11" t="n"/>
      <c r="L201" s="12" t="n"/>
      <c r="M201" s="12" t="n"/>
      <c r="N201" s="11" t="n"/>
    </row>
  </sheetData>
  <autoFilter ref="A1:N1"/>
  <dataValidations count="2">
    <dataValidation sqref="K2:K201" showDropDown="0" showInputMessage="0" showErrorMessage="0" allowBlank="1" error="Pick one of the listed values." type="list">
      <formula1>"Pick the right one,Match things together,Put things in order,Explore and find"</formula1>
    </dataValidation>
    <dataValidation sqref="M2:M201" showDropDown="0" showInputMessage="0" showErrorMessage="1" allowBlank="1" error="Pick one of the listed values." type="list">
      <formula1>"Draft,Ready for Review,Published"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18" customWidth="1" min="3" max="3"/>
    <col width="62" customWidth="1" min="4" max="4"/>
    <col width="42" customWidth="1" min="5" max="5"/>
    <col width="38" customWidth="1" min="6" max="6"/>
    <col width="20" customWidth="1" min="7" max="7"/>
    <col width="26" customWidth="1" min="8" max="8"/>
    <col width="38" customWidth="1" min="9" max="9"/>
    <col width="38" customWidth="1" min="10" max="10"/>
    <col width="30" customWidth="1" min="11" max="11"/>
    <col width="18" customWidth="1" min="12" max="12"/>
    <col width="18" customWidth="1" min="13" max="13"/>
    <col width="40" customWidth="1" min="14" max="14"/>
  </cols>
  <sheetData>
    <row r="1" ht="42" customHeight="1">
      <c r="A1" s="9" t="inlineStr">
        <is>
          <t>Chapter</t>
        </is>
      </c>
      <c r="B1" s="9" t="inlineStr">
        <is>
          <t>Title</t>
        </is>
      </c>
      <c r="C1" s="9" t="inlineStr">
        <is>
          <t>Bible Reference</t>
        </is>
      </c>
      <c r="D1" s="9" t="inlineStr">
        <is>
          <t>Curriculum</t>
        </is>
      </c>
      <c r="E1" s="9" t="inlineStr">
        <is>
          <t>Learning Objectives</t>
        </is>
      </c>
      <c r="F1" s="9" t="inlineStr">
        <is>
          <t>Memory Verse</t>
        </is>
      </c>
      <c r="G1" s="9" t="inlineStr">
        <is>
          <t>Memory Verse Reference</t>
        </is>
      </c>
      <c r="H1" s="9" t="inlineStr">
        <is>
          <t>Video</t>
        </is>
      </c>
      <c r="I1" s="9" t="inlineStr">
        <is>
          <t>Take Home</t>
        </is>
      </c>
      <c r="J1" s="9" t="inlineStr">
        <is>
          <t>Suggested Story Approach</t>
        </is>
      </c>
      <c r="K1" s="9" t="inlineStr">
        <is>
          <t>Suggested Game Approach</t>
        </is>
      </c>
      <c r="L1" s="9" t="inlineStr">
        <is>
          <t>Contributor</t>
        </is>
      </c>
      <c r="M1" s="9" t="inlineStr">
        <is>
          <t>Status</t>
        </is>
      </c>
      <c r="N1" s="9" t="inlineStr">
        <is>
          <t>Notes</t>
        </is>
      </c>
    </row>
    <row r="2">
      <c r="A2" s="10" t="n"/>
      <c r="B2" s="11" t="n"/>
      <c r="C2" s="12" t="n"/>
      <c r="D2" s="11" t="n"/>
      <c r="E2" s="13">
        <f>IF($A2="","",IFERROR(TEXTJOIN(CHAR(10),TRUE,FILTER('Learning Objectives'!$D$2:$D$500,'Learning Objectives'!$A$2:$A$500="11–13 Years",'Learning Objectives'!$B$2:$B$500=$A2)),""))</f>
        <v/>
      </c>
      <c r="F2" s="11" t="n"/>
      <c r="G2" s="12" t="n"/>
      <c r="H2" s="12" t="n"/>
      <c r="I2" s="11" t="n"/>
      <c r="J2" s="11" t="n"/>
      <c r="K2" s="11" t="n"/>
      <c r="L2" s="12" t="n"/>
      <c r="M2" s="12" t="n"/>
      <c r="N2" s="11" t="n"/>
    </row>
    <row r="3">
      <c r="A3" s="10" t="n"/>
      <c r="B3" s="11" t="n"/>
      <c r="C3" s="12" t="n"/>
      <c r="D3" s="11" t="n"/>
      <c r="E3" s="13">
        <f>IF($A3="","",IFERROR(TEXTJOIN(CHAR(10),TRUE,FILTER('Learning Objectives'!$D$2:$D$500,'Learning Objectives'!$A$2:$A$500="11–13 Years",'Learning Objectives'!$B$2:$B$500=$A3)),""))</f>
        <v/>
      </c>
      <c r="F3" s="11" t="n"/>
      <c r="G3" s="12" t="n"/>
      <c r="H3" s="12" t="n"/>
      <c r="I3" s="11" t="n"/>
      <c r="J3" s="11" t="n"/>
      <c r="K3" s="11" t="n"/>
      <c r="L3" s="12" t="n"/>
      <c r="M3" s="12" t="n"/>
      <c r="N3" s="11" t="n"/>
    </row>
    <row r="4">
      <c r="A4" s="10" t="n"/>
      <c r="B4" s="11" t="n"/>
      <c r="C4" s="12" t="n"/>
      <c r="D4" s="11" t="n"/>
      <c r="E4" s="13">
        <f>IF($A4="","",IFERROR(TEXTJOIN(CHAR(10),TRUE,FILTER('Learning Objectives'!$D$2:$D$500,'Learning Objectives'!$A$2:$A$500="11–13 Years",'Learning Objectives'!$B$2:$B$500=$A4)),""))</f>
        <v/>
      </c>
      <c r="F4" s="11" t="n"/>
      <c r="G4" s="12" t="n"/>
      <c r="H4" s="12" t="n"/>
      <c r="I4" s="11" t="n"/>
      <c r="J4" s="11" t="n"/>
      <c r="K4" s="11" t="n"/>
      <c r="L4" s="12" t="n"/>
      <c r="M4" s="12" t="n"/>
      <c r="N4" s="11" t="n"/>
    </row>
    <row r="5">
      <c r="A5" s="10" t="n"/>
      <c r="B5" s="11" t="n"/>
      <c r="C5" s="12" t="n"/>
      <c r="D5" s="11" t="n"/>
      <c r="E5" s="13">
        <f>IF($A5="","",IFERROR(TEXTJOIN(CHAR(10),TRUE,FILTER('Learning Objectives'!$D$2:$D$500,'Learning Objectives'!$A$2:$A$500="11–13 Years",'Learning Objectives'!$B$2:$B$500=$A5)),""))</f>
        <v/>
      </c>
      <c r="F5" s="11" t="n"/>
      <c r="G5" s="12" t="n"/>
      <c r="H5" s="12" t="n"/>
      <c r="I5" s="11" t="n"/>
      <c r="J5" s="11" t="n"/>
      <c r="K5" s="11" t="n"/>
      <c r="L5" s="12" t="n"/>
      <c r="M5" s="12" t="n"/>
      <c r="N5" s="11" t="n"/>
    </row>
    <row r="6">
      <c r="A6" s="10" t="n"/>
      <c r="B6" s="11" t="n"/>
      <c r="C6" s="12" t="n"/>
      <c r="D6" s="11" t="n"/>
      <c r="E6" s="13">
        <f>IF($A6="","",IFERROR(TEXTJOIN(CHAR(10),TRUE,FILTER('Learning Objectives'!$D$2:$D$500,'Learning Objectives'!$A$2:$A$500="11–13 Years",'Learning Objectives'!$B$2:$B$500=$A6)),""))</f>
        <v/>
      </c>
      <c r="F6" s="11" t="n"/>
      <c r="G6" s="12" t="n"/>
      <c r="H6" s="12" t="n"/>
      <c r="I6" s="11" t="n"/>
      <c r="J6" s="11" t="n"/>
      <c r="K6" s="11" t="n"/>
      <c r="L6" s="12" t="n"/>
      <c r="M6" s="12" t="n"/>
      <c r="N6" s="11" t="n"/>
    </row>
    <row r="7">
      <c r="A7" s="10" t="n"/>
      <c r="B7" s="11" t="n"/>
      <c r="C7" s="12" t="n"/>
      <c r="D7" s="11" t="n"/>
      <c r="E7" s="13">
        <f>IF($A7="","",IFERROR(TEXTJOIN(CHAR(10),TRUE,FILTER('Learning Objectives'!$D$2:$D$500,'Learning Objectives'!$A$2:$A$500="11–13 Years",'Learning Objectives'!$B$2:$B$500=$A7)),""))</f>
        <v/>
      </c>
      <c r="F7" s="11" t="n"/>
      <c r="G7" s="12" t="n"/>
      <c r="H7" s="12" t="n"/>
      <c r="I7" s="11" t="n"/>
      <c r="J7" s="11" t="n"/>
      <c r="K7" s="11" t="n"/>
      <c r="L7" s="12" t="n"/>
      <c r="M7" s="12" t="n"/>
      <c r="N7" s="11" t="n"/>
    </row>
    <row r="8">
      <c r="A8" s="10" t="n"/>
      <c r="B8" s="11" t="n"/>
      <c r="C8" s="12" t="n"/>
      <c r="D8" s="11" t="n"/>
      <c r="E8" s="13">
        <f>IF($A8="","",IFERROR(TEXTJOIN(CHAR(10),TRUE,FILTER('Learning Objectives'!$D$2:$D$500,'Learning Objectives'!$A$2:$A$500="11–13 Years",'Learning Objectives'!$B$2:$B$500=$A8)),""))</f>
        <v/>
      </c>
      <c r="F8" s="11" t="n"/>
      <c r="G8" s="12" t="n"/>
      <c r="H8" s="12" t="n"/>
      <c r="I8" s="11" t="n"/>
      <c r="J8" s="11" t="n"/>
      <c r="K8" s="11" t="n"/>
      <c r="L8" s="12" t="n"/>
      <c r="M8" s="12" t="n"/>
      <c r="N8" s="11" t="n"/>
    </row>
    <row r="9">
      <c r="A9" s="10" t="n"/>
      <c r="B9" s="11" t="n"/>
      <c r="C9" s="12" t="n"/>
      <c r="D9" s="11" t="n"/>
      <c r="E9" s="13">
        <f>IF($A9="","",IFERROR(TEXTJOIN(CHAR(10),TRUE,FILTER('Learning Objectives'!$D$2:$D$500,'Learning Objectives'!$A$2:$A$500="11–13 Years",'Learning Objectives'!$B$2:$B$500=$A9)),""))</f>
        <v/>
      </c>
      <c r="F9" s="11" t="n"/>
      <c r="G9" s="12" t="n"/>
      <c r="H9" s="12" t="n"/>
      <c r="I9" s="11" t="n"/>
      <c r="J9" s="11" t="n"/>
      <c r="K9" s="11" t="n"/>
      <c r="L9" s="12" t="n"/>
      <c r="M9" s="12" t="n"/>
      <c r="N9" s="11" t="n"/>
    </row>
    <row r="10">
      <c r="A10" s="10" t="n"/>
      <c r="B10" s="11" t="n"/>
      <c r="C10" s="12" t="n"/>
      <c r="D10" s="11" t="n"/>
      <c r="E10" s="13">
        <f>IF($A10="","",IFERROR(TEXTJOIN(CHAR(10),TRUE,FILTER('Learning Objectives'!$D$2:$D$500,'Learning Objectives'!$A$2:$A$500="11–13 Years",'Learning Objectives'!$B$2:$B$500=$A10)),""))</f>
        <v/>
      </c>
      <c r="F10" s="11" t="n"/>
      <c r="G10" s="12" t="n"/>
      <c r="H10" s="12" t="n"/>
      <c r="I10" s="11" t="n"/>
      <c r="J10" s="11" t="n"/>
      <c r="K10" s="11" t="n"/>
      <c r="L10" s="12" t="n"/>
      <c r="M10" s="12" t="n"/>
      <c r="N10" s="11" t="n"/>
    </row>
    <row r="11">
      <c r="A11" s="10" t="n"/>
      <c r="B11" s="11" t="n"/>
      <c r="C11" s="12" t="n"/>
      <c r="D11" s="11" t="n"/>
      <c r="E11" s="13">
        <f>IF($A11="","",IFERROR(TEXTJOIN(CHAR(10),TRUE,FILTER('Learning Objectives'!$D$2:$D$500,'Learning Objectives'!$A$2:$A$500="11–13 Years",'Learning Objectives'!$B$2:$B$500=$A11)),""))</f>
        <v/>
      </c>
      <c r="F11" s="11" t="n"/>
      <c r="G11" s="12" t="n"/>
      <c r="H11" s="12" t="n"/>
      <c r="I11" s="11" t="n"/>
      <c r="J11" s="11" t="n"/>
      <c r="K11" s="11" t="n"/>
      <c r="L11" s="12" t="n"/>
      <c r="M11" s="12" t="n"/>
      <c r="N11" s="11" t="n"/>
    </row>
    <row r="12">
      <c r="A12" s="10" t="n"/>
      <c r="B12" s="11" t="n"/>
      <c r="C12" s="12" t="n"/>
      <c r="D12" s="11" t="n"/>
      <c r="E12" s="13">
        <f>IF($A12="","",IFERROR(TEXTJOIN(CHAR(10),TRUE,FILTER('Learning Objectives'!$D$2:$D$500,'Learning Objectives'!$A$2:$A$500="11–13 Years",'Learning Objectives'!$B$2:$B$500=$A12)),""))</f>
        <v/>
      </c>
      <c r="F12" s="11" t="n"/>
      <c r="G12" s="12" t="n"/>
      <c r="H12" s="12" t="n"/>
      <c r="I12" s="11" t="n"/>
      <c r="J12" s="11" t="n"/>
      <c r="K12" s="11" t="n"/>
      <c r="L12" s="12" t="n"/>
      <c r="M12" s="12" t="n"/>
      <c r="N12" s="11" t="n"/>
    </row>
    <row r="13">
      <c r="A13" s="10" t="n"/>
      <c r="B13" s="11" t="n"/>
      <c r="C13" s="12" t="n"/>
      <c r="D13" s="11" t="n"/>
      <c r="E13" s="13">
        <f>IF($A13="","",IFERROR(TEXTJOIN(CHAR(10),TRUE,FILTER('Learning Objectives'!$D$2:$D$500,'Learning Objectives'!$A$2:$A$500="11–13 Years",'Learning Objectives'!$B$2:$B$500=$A13)),""))</f>
        <v/>
      </c>
      <c r="F13" s="11" t="n"/>
      <c r="G13" s="12" t="n"/>
      <c r="H13" s="12" t="n"/>
      <c r="I13" s="11" t="n"/>
      <c r="J13" s="11" t="n"/>
      <c r="K13" s="11" t="n"/>
      <c r="L13" s="12" t="n"/>
      <c r="M13" s="12" t="n"/>
      <c r="N13" s="11" t="n"/>
    </row>
    <row r="14">
      <c r="A14" s="10" t="n"/>
      <c r="B14" s="11" t="n"/>
      <c r="C14" s="12" t="n"/>
      <c r="D14" s="11" t="n"/>
      <c r="E14" s="13">
        <f>IF($A14="","",IFERROR(TEXTJOIN(CHAR(10),TRUE,FILTER('Learning Objectives'!$D$2:$D$500,'Learning Objectives'!$A$2:$A$500="11–13 Years",'Learning Objectives'!$B$2:$B$500=$A14)),""))</f>
        <v/>
      </c>
      <c r="F14" s="11" t="n"/>
      <c r="G14" s="12" t="n"/>
      <c r="H14" s="12" t="n"/>
      <c r="I14" s="11" t="n"/>
      <c r="J14" s="11" t="n"/>
      <c r="K14" s="11" t="n"/>
      <c r="L14" s="12" t="n"/>
      <c r="M14" s="12" t="n"/>
      <c r="N14" s="11" t="n"/>
    </row>
    <row r="15">
      <c r="A15" s="10" t="n"/>
      <c r="B15" s="11" t="n"/>
      <c r="C15" s="12" t="n"/>
      <c r="D15" s="11" t="n"/>
      <c r="E15" s="13">
        <f>IF($A15="","",IFERROR(TEXTJOIN(CHAR(10),TRUE,FILTER('Learning Objectives'!$D$2:$D$500,'Learning Objectives'!$A$2:$A$500="11–13 Years",'Learning Objectives'!$B$2:$B$500=$A15)),""))</f>
        <v/>
      </c>
      <c r="F15" s="11" t="n"/>
      <c r="G15" s="12" t="n"/>
      <c r="H15" s="12" t="n"/>
      <c r="I15" s="11" t="n"/>
      <c r="J15" s="11" t="n"/>
      <c r="K15" s="11" t="n"/>
      <c r="L15" s="12" t="n"/>
      <c r="M15" s="12" t="n"/>
      <c r="N15" s="11" t="n"/>
    </row>
    <row r="16">
      <c r="A16" s="10" t="n"/>
      <c r="B16" s="11" t="n"/>
      <c r="C16" s="12" t="n"/>
      <c r="D16" s="11" t="n"/>
      <c r="E16" s="13">
        <f>IF($A16="","",IFERROR(TEXTJOIN(CHAR(10),TRUE,FILTER('Learning Objectives'!$D$2:$D$500,'Learning Objectives'!$A$2:$A$500="11–13 Years",'Learning Objectives'!$B$2:$B$500=$A16)),""))</f>
        <v/>
      </c>
      <c r="F16" s="11" t="n"/>
      <c r="G16" s="12" t="n"/>
      <c r="H16" s="12" t="n"/>
      <c r="I16" s="11" t="n"/>
      <c r="J16" s="11" t="n"/>
      <c r="K16" s="11" t="n"/>
      <c r="L16" s="12" t="n"/>
      <c r="M16" s="12" t="n"/>
      <c r="N16" s="11" t="n"/>
    </row>
    <row r="17">
      <c r="A17" s="10" t="n"/>
      <c r="B17" s="11" t="n"/>
      <c r="C17" s="12" t="n"/>
      <c r="D17" s="11" t="n"/>
      <c r="E17" s="13">
        <f>IF($A17="","",IFERROR(TEXTJOIN(CHAR(10),TRUE,FILTER('Learning Objectives'!$D$2:$D$500,'Learning Objectives'!$A$2:$A$500="11–13 Years",'Learning Objectives'!$B$2:$B$500=$A17)),""))</f>
        <v/>
      </c>
      <c r="F17" s="11" t="n"/>
      <c r="G17" s="12" t="n"/>
      <c r="H17" s="12" t="n"/>
      <c r="I17" s="11" t="n"/>
      <c r="J17" s="11" t="n"/>
      <c r="K17" s="11" t="n"/>
      <c r="L17" s="12" t="n"/>
      <c r="M17" s="12" t="n"/>
      <c r="N17" s="11" t="n"/>
    </row>
    <row r="18">
      <c r="A18" s="10" t="n"/>
      <c r="B18" s="11" t="n"/>
      <c r="C18" s="12" t="n"/>
      <c r="D18" s="11" t="n"/>
      <c r="E18" s="13">
        <f>IF($A18="","",IFERROR(TEXTJOIN(CHAR(10),TRUE,FILTER('Learning Objectives'!$D$2:$D$500,'Learning Objectives'!$A$2:$A$500="11–13 Years",'Learning Objectives'!$B$2:$B$500=$A18)),""))</f>
        <v/>
      </c>
      <c r="F18" s="11" t="n"/>
      <c r="G18" s="12" t="n"/>
      <c r="H18" s="12" t="n"/>
      <c r="I18" s="11" t="n"/>
      <c r="J18" s="11" t="n"/>
      <c r="K18" s="11" t="n"/>
      <c r="L18" s="12" t="n"/>
      <c r="M18" s="12" t="n"/>
      <c r="N18" s="11" t="n"/>
    </row>
    <row r="19">
      <c r="A19" s="10" t="n"/>
      <c r="B19" s="11" t="n"/>
      <c r="C19" s="12" t="n"/>
      <c r="D19" s="11" t="n"/>
      <c r="E19" s="13">
        <f>IF($A19="","",IFERROR(TEXTJOIN(CHAR(10),TRUE,FILTER('Learning Objectives'!$D$2:$D$500,'Learning Objectives'!$A$2:$A$500="11–13 Years",'Learning Objectives'!$B$2:$B$500=$A19)),""))</f>
        <v/>
      </c>
      <c r="F19" s="11" t="n"/>
      <c r="G19" s="12" t="n"/>
      <c r="H19" s="12" t="n"/>
      <c r="I19" s="11" t="n"/>
      <c r="J19" s="11" t="n"/>
      <c r="K19" s="11" t="n"/>
      <c r="L19" s="12" t="n"/>
      <c r="M19" s="12" t="n"/>
      <c r="N19" s="11" t="n"/>
    </row>
    <row r="20">
      <c r="A20" s="10" t="n"/>
      <c r="B20" s="11" t="n"/>
      <c r="C20" s="12" t="n"/>
      <c r="D20" s="11" t="n"/>
      <c r="E20" s="13">
        <f>IF($A20="","",IFERROR(TEXTJOIN(CHAR(10),TRUE,FILTER('Learning Objectives'!$D$2:$D$500,'Learning Objectives'!$A$2:$A$500="11–13 Years",'Learning Objectives'!$B$2:$B$500=$A20)),""))</f>
        <v/>
      </c>
      <c r="F20" s="11" t="n"/>
      <c r="G20" s="12" t="n"/>
      <c r="H20" s="12" t="n"/>
      <c r="I20" s="11" t="n"/>
      <c r="J20" s="11" t="n"/>
      <c r="K20" s="11" t="n"/>
      <c r="L20" s="12" t="n"/>
      <c r="M20" s="12" t="n"/>
      <c r="N20" s="11" t="n"/>
    </row>
    <row r="21">
      <c r="A21" s="10" t="n"/>
      <c r="B21" s="11" t="n"/>
      <c r="C21" s="12" t="n"/>
      <c r="D21" s="11" t="n"/>
      <c r="E21" s="13">
        <f>IF($A21="","",IFERROR(TEXTJOIN(CHAR(10),TRUE,FILTER('Learning Objectives'!$D$2:$D$500,'Learning Objectives'!$A$2:$A$500="11–13 Years",'Learning Objectives'!$B$2:$B$500=$A21)),""))</f>
        <v/>
      </c>
      <c r="F21" s="11" t="n"/>
      <c r="G21" s="12" t="n"/>
      <c r="H21" s="12" t="n"/>
      <c r="I21" s="11" t="n"/>
      <c r="J21" s="11" t="n"/>
      <c r="K21" s="11" t="n"/>
      <c r="L21" s="12" t="n"/>
      <c r="M21" s="12" t="n"/>
      <c r="N21" s="11" t="n"/>
    </row>
    <row r="22">
      <c r="A22" s="10" t="n"/>
      <c r="B22" s="11" t="n"/>
      <c r="C22" s="12" t="n"/>
      <c r="D22" s="11" t="n"/>
      <c r="E22" s="13">
        <f>IF($A22="","",IFERROR(TEXTJOIN(CHAR(10),TRUE,FILTER('Learning Objectives'!$D$2:$D$500,'Learning Objectives'!$A$2:$A$500="11–13 Years",'Learning Objectives'!$B$2:$B$500=$A22)),""))</f>
        <v/>
      </c>
      <c r="F22" s="11" t="n"/>
      <c r="G22" s="12" t="n"/>
      <c r="H22" s="12" t="n"/>
      <c r="I22" s="11" t="n"/>
      <c r="J22" s="11" t="n"/>
      <c r="K22" s="11" t="n"/>
      <c r="L22" s="12" t="n"/>
      <c r="M22" s="12" t="n"/>
      <c r="N22" s="11" t="n"/>
    </row>
    <row r="23">
      <c r="A23" s="10" t="n"/>
      <c r="B23" s="11" t="n"/>
      <c r="C23" s="12" t="n"/>
      <c r="D23" s="11" t="n"/>
      <c r="E23" s="13">
        <f>IF($A23="","",IFERROR(TEXTJOIN(CHAR(10),TRUE,FILTER('Learning Objectives'!$D$2:$D$500,'Learning Objectives'!$A$2:$A$500="11–13 Years",'Learning Objectives'!$B$2:$B$500=$A23)),""))</f>
        <v/>
      </c>
      <c r="F23" s="11" t="n"/>
      <c r="G23" s="12" t="n"/>
      <c r="H23" s="12" t="n"/>
      <c r="I23" s="11" t="n"/>
      <c r="J23" s="11" t="n"/>
      <c r="K23" s="11" t="n"/>
      <c r="L23" s="12" t="n"/>
      <c r="M23" s="12" t="n"/>
      <c r="N23" s="11" t="n"/>
    </row>
    <row r="24">
      <c r="A24" s="10" t="n"/>
      <c r="B24" s="11" t="n"/>
      <c r="C24" s="12" t="n"/>
      <c r="D24" s="11" t="n"/>
      <c r="E24" s="13">
        <f>IF($A24="","",IFERROR(TEXTJOIN(CHAR(10),TRUE,FILTER('Learning Objectives'!$D$2:$D$500,'Learning Objectives'!$A$2:$A$500="11–13 Years",'Learning Objectives'!$B$2:$B$500=$A24)),""))</f>
        <v/>
      </c>
      <c r="F24" s="11" t="n"/>
      <c r="G24" s="12" t="n"/>
      <c r="H24" s="12" t="n"/>
      <c r="I24" s="11" t="n"/>
      <c r="J24" s="11" t="n"/>
      <c r="K24" s="11" t="n"/>
      <c r="L24" s="12" t="n"/>
      <c r="M24" s="12" t="n"/>
      <c r="N24" s="11" t="n"/>
    </row>
    <row r="25">
      <c r="A25" s="10" t="n"/>
      <c r="B25" s="11" t="n"/>
      <c r="C25" s="12" t="n"/>
      <c r="D25" s="11" t="n"/>
      <c r="E25" s="13">
        <f>IF($A25="","",IFERROR(TEXTJOIN(CHAR(10),TRUE,FILTER('Learning Objectives'!$D$2:$D$500,'Learning Objectives'!$A$2:$A$500="11–13 Years",'Learning Objectives'!$B$2:$B$500=$A25)),""))</f>
        <v/>
      </c>
      <c r="F25" s="11" t="n"/>
      <c r="G25" s="12" t="n"/>
      <c r="H25" s="12" t="n"/>
      <c r="I25" s="11" t="n"/>
      <c r="J25" s="11" t="n"/>
      <c r="K25" s="11" t="n"/>
      <c r="L25" s="12" t="n"/>
      <c r="M25" s="12" t="n"/>
      <c r="N25" s="11" t="n"/>
    </row>
    <row r="26">
      <c r="A26" s="10" t="n"/>
      <c r="B26" s="11" t="n"/>
      <c r="C26" s="12" t="n"/>
      <c r="D26" s="11" t="n"/>
      <c r="E26" s="13">
        <f>IF($A26="","",IFERROR(TEXTJOIN(CHAR(10),TRUE,FILTER('Learning Objectives'!$D$2:$D$500,'Learning Objectives'!$A$2:$A$500="11–13 Years",'Learning Objectives'!$B$2:$B$500=$A26)),""))</f>
        <v/>
      </c>
      <c r="F26" s="11" t="n"/>
      <c r="G26" s="12" t="n"/>
      <c r="H26" s="12" t="n"/>
      <c r="I26" s="11" t="n"/>
      <c r="J26" s="11" t="n"/>
      <c r="K26" s="11" t="n"/>
      <c r="L26" s="12" t="n"/>
      <c r="M26" s="12" t="n"/>
      <c r="N26" s="11" t="n"/>
    </row>
    <row r="27">
      <c r="A27" s="10" t="n"/>
      <c r="B27" s="11" t="n"/>
      <c r="C27" s="12" t="n"/>
      <c r="D27" s="11" t="n"/>
      <c r="E27" s="13">
        <f>IF($A27="","",IFERROR(TEXTJOIN(CHAR(10),TRUE,FILTER('Learning Objectives'!$D$2:$D$500,'Learning Objectives'!$A$2:$A$500="11–13 Years",'Learning Objectives'!$B$2:$B$500=$A27)),""))</f>
        <v/>
      </c>
      <c r="F27" s="11" t="n"/>
      <c r="G27" s="12" t="n"/>
      <c r="H27" s="12" t="n"/>
      <c r="I27" s="11" t="n"/>
      <c r="J27" s="11" t="n"/>
      <c r="K27" s="11" t="n"/>
      <c r="L27" s="12" t="n"/>
      <c r="M27" s="12" t="n"/>
      <c r="N27" s="11" t="n"/>
    </row>
    <row r="28">
      <c r="A28" s="10" t="n"/>
      <c r="B28" s="11" t="n"/>
      <c r="C28" s="12" t="n"/>
      <c r="D28" s="11" t="n"/>
      <c r="E28" s="13">
        <f>IF($A28="","",IFERROR(TEXTJOIN(CHAR(10),TRUE,FILTER('Learning Objectives'!$D$2:$D$500,'Learning Objectives'!$A$2:$A$500="11–13 Years",'Learning Objectives'!$B$2:$B$500=$A28)),""))</f>
        <v/>
      </c>
      <c r="F28" s="11" t="n"/>
      <c r="G28" s="12" t="n"/>
      <c r="H28" s="12" t="n"/>
      <c r="I28" s="11" t="n"/>
      <c r="J28" s="11" t="n"/>
      <c r="K28" s="11" t="n"/>
      <c r="L28" s="12" t="n"/>
      <c r="M28" s="12" t="n"/>
      <c r="N28" s="11" t="n"/>
    </row>
    <row r="29">
      <c r="A29" s="10" t="n"/>
      <c r="B29" s="11" t="n"/>
      <c r="C29" s="12" t="n"/>
      <c r="D29" s="11" t="n"/>
      <c r="E29" s="13">
        <f>IF($A29="","",IFERROR(TEXTJOIN(CHAR(10),TRUE,FILTER('Learning Objectives'!$D$2:$D$500,'Learning Objectives'!$A$2:$A$500="11–13 Years",'Learning Objectives'!$B$2:$B$500=$A29)),""))</f>
        <v/>
      </c>
      <c r="F29" s="11" t="n"/>
      <c r="G29" s="12" t="n"/>
      <c r="H29" s="12" t="n"/>
      <c r="I29" s="11" t="n"/>
      <c r="J29" s="11" t="n"/>
      <c r="K29" s="11" t="n"/>
      <c r="L29" s="12" t="n"/>
      <c r="M29" s="12" t="n"/>
      <c r="N29" s="11" t="n"/>
    </row>
    <row r="30">
      <c r="A30" s="10" t="n"/>
      <c r="B30" s="11" t="n"/>
      <c r="C30" s="12" t="n"/>
      <c r="D30" s="11" t="n"/>
      <c r="E30" s="13">
        <f>IF($A30="","",IFERROR(TEXTJOIN(CHAR(10),TRUE,FILTER('Learning Objectives'!$D$2:$D$500,'Learning Objectives'!$A$2:$A$500="11–13 Years",'Learning Objectives'!$B$2:$B$500=$A30)),""))</f>
        <v/>
      </c>
      <c r="F30" s="11" t="n"/>
      <c r="G30" s="12" t="n"/>
      <c r="H30" s="12" t="n"/>
      <c r="I30" s="11" t="n"/>
      <c r="J30" s="11" t="n"/>
      <c r="K30" s="11" t="n"/>
      <c r="L30" s="12" t="n"/>
      <c r="M30" s="12" t="n"/>
      <c r="N30" s="11" t="n"/>
    </row>
    <row r="31">
      <c r="A31" s="10" t="n"/>
      <c r="B31" s="11" t="n"/>
      <c r="C31" s="12" t="n"/>
      <c r="D31" s="11" t="n"/>
      <c r="E31" s="13">
        <f>IF($A31="","",IFERROR(TEXTJOIN(CHAR(10),TRUE,FILTER('Learning Objectives'!$D$2:$D$500,'Learning Objectives'!$A$2:$A$500="11–13 Years",'Learning Objectives'!$B$2:$B$500=$A31)),""))</f>
        <v/>
      </c>
      <c r="F31" s="11" t="n"/>
      <c r="G31" s="12" t="n"/>
      <c r="H31" s="12" t="n"/>
      <c r="I31" s="11" t="n"/>
      <c r="J31" s="11" t="n"/>
      <c r="K31" s="11" t="n"/>
      <c r="L31" s="12" t="n"/>
      <c r="M31" s="12" t="n"/>
      <c r="N31" s="11" t="n"/>
    </row>
    <row r="32">
      <c r="A32" s="10" t="n"/>
      <c r="B32" s="11" t="n"/>
      <c r="C32" s="12" t="n"/>
      <c r="D32" s="11" t="n"/>
      <c r="E32" s="13">
        <f>IF($A32="","",IFERROR(TEXTJOIN(CHAR(10),TRUE,FILTER('Learning Objectives'!$D$2:$D$500,'Learning Objectives'!$A$2:$A$500="11–13 Years",'Learning Objectives'!$B$2:$B$500=$A32)),""))</f>
        <v/>
      </c>
      <c r="F32" s="11" t="n"/>
      <c r="G32" s="12" t="n"/>
      <c r="H32" s="12" t="n"/>
      <c r="I32" s="11" t="n"/>
      <c r="J32" s="11" t="n"/>
      <c r="K32" s="11" t="n"/>
      <c r="L32" s="12" t="n"/>
      <c r="M32" s="12" t="n"/>
      <c r="N32" s="11" t="n"/>
    </row>
    <row r="33">
      <c r="A33" s="10" t="n"/>
      <c r="B33" s="11" t="n"/>
      <c r="C33" s="12" t="n"/>
      <c r="D33" s="11" t="n"/>
      <c r="E33" s="13">
        <f>IF($A33="","",IFERROR(TEXTJOIN(CHAR(10),TRUE,FILTER('Learning Objectives'!$D$2:$D$500,'Learning Objectives'!$A$2:$A$500="11–13 Years",'Learning Objectives'!$B$2:$B$500=$A33)),""))</f>
        <v/>
      </c>
      <c r="F33" s="11" t="n"/>
      <c r="G33" s="12" t="n"/>
      <c r="H33" s="12" t="n"/>
      <c r="I33" s="11" t="n"/>
      <c r="J33" s="11" t="n"/>
      <c r="K33" s="11" t="n"/>
      <c r="L33" s="12" t="n"/>
      <c r="M33" s="12" t="n"/>
      <c r="N33" s="11" t="n"/>
    </row>
    <row r="34">
      <c r="A34" s="10" t="n"/>
      <c r="B34" s="11" t="n"/>
      <c r="C34" s="12" t="n"/>
      <c r="D34" s="11" t="n"/>
      <c r="E34" s="13">
        <f>IF($A34="","",IFERROR(TEXTJOIN(CHAR(10),TRUE,FILTER('Learning Objectives'!$D$2:$D$500,'Learning Objectives'!$A$2:$A$500="11–13 Years",'Learning Objectives'!$B$2:$B$500=$A34)),""))</f>
        <v/>
      </c>
      <c r="F34" s="11" t="n"/>
      <c r="G34" s="12" t="n"/>
      <c r="H34" s="12" t="n"/>
      <c r="I34" s="11" t="n"/>
      <c r="J34" s="11" t="n"/>
      <c r="K34" s="11" t="n"/>
      <c r="L34" s="12" t="n"/>
      <c r="M34" s="12" t="n"/>
      <c r="N34" s="11" t="n"/>
    </row>
    <row r="35">
      <c r="A35" s="10" t="n"/>
      <c r="B35" s="11" t="n"/>
      <c r="C35" s="12" t="n"/>
      <c r="D35" s="11" t="n"/>
      <c r="E35" s="13">
        <f>IF($A35="","",IFERROR(TEXTJOIN(CHAR(10),TRUE,FILTER('Learning Objectives'!$D$2:$D$500,'Learning Objectives'!$A$2:$A$500="11–13 Years",'Learning Objectives'!$B$2:$B$500=$A35)),""))</f>
        <v/>
      </c>
      <c r="F35" s="11" t="n"/>
      <c r="G35" s="12" t="n"/>
      <c r="H35" s="12" t="n"/>
      <c r="I35" s="11" t="n"/>
      <c r="J35" s="11" t="n"/>
      <c r="K35" s="11" t="n"/>
      <c r="L35" s="12" t="n"/>
      <c r="M35" s="12" t="n"/>
      <c r="N35" s="11" t="n"/>
    </row>
    <row r="36">
      <c r="A36" s="10" t="n"/>
      <c r="B36" s="11" t="n"/>
      <c r="C36" s="12" t="n"/>
      <c r="D36" s="11" t="n"/>
      <c r="E36" s="13">
        <f>IF($A36="","",IFERROR(TEXTJOIN(CHAR(10),TRUE,FILTER('Learning Objectives'!$D$2:$D$500,'Learning Objectives'!$A$2:$A$500="11–13 Years",'Learning Objectives'!$B$2:$B$500=$A36)),""))</f>
        <v/>
      </c>
      <c r="F36" s="11" t="n"/>
      <c r="G36" s="12" t="n"/>
      <c r="H36" s="12" t="n"/>
      <c r="I36" s="11" t="n"/>
      <c r="J36" s="11" t="n"/>
      <c r="K36" s="11" t="n"/>
      <c r="L36" s="12" t="n"/>
      <c r="M36" s="12" t="n"/>
      <c r="N36" s="11" t="n"/>
    </row>
    <row r="37">
      <c r="A37" s="10" t="n"/>
      <c r="B37" s="11" t="n"/>
      <c r="C37" s="12" t="n"/>
      <c r="D37" s="11" t="n"/>
      <c r="E37" s="13">
        <f>IF($A37="","",IFERROR(TEXTJOIN(CHAR(10),TRUE,FILTER('Learning Objectives'!$D$2:$D$500,'Learning Objectives'!$A$2:$A$500="11–13 Years",'Learning Objectives'!$B$2:$B$500=$A37)),""))</f>
        <v/>
      </c>
      <c r="F37" s="11" t="n"/>
      <c r="G37" s="12" t="n"/>
      <c r="H37" s="12" t="n"/>
      <c r="I37" s="11" t="n"/>
      <c r="J37" s="11" t="n"/>
      <c r="K37" s="11" t="n"/>
      <c r="L37" s="12" t="n"/>
      <c r="M37" s="12" t="n"/>
      <c r="N37" s="11" t="n"/>
    </row>
    <row r="38">
      <c r="A38" s="10" t="n"/>
      <c r="B38" s="11" t="n"/>
      <c r="C38" s="12" t="n"/>
      <c r="D38" s="11" t="n"/>
      <c r="E38" s="13">
        <f>IF($A38="","",IFERROR(TEXTJOIN(CHAR(10),TRUE,FILTER('Learning Objectives'!$D$2:$D$500,'Learning Objectives'!$A$2:$A$500="11–13 Years",'Learning Objectives'!$B$2:$B$500=$A38)),""))</f>
        <v/>
      </c>
      <c r="F38" s="11" t="n"/>
      <c r="G38" s="12" t="n"/>
      <c r="H38" s="12" t="n"/>
      <c r="I38" s="11" t="n"/>
      <c r="J38" s="11" t="n"/>
      <c r="K38" s="11" t="n"/>
      <c r="L38" s="12" t="n"/>
      <c r="M38" s="12" t="n"/>
      <c r="N38" s="11" t="n"/>
    </row>
    <row r="39">
      <c r="A39" s="10" t="n"/>
      <c r="B39" s="11" t="n"/>
      <c r="C39" s="12" t="n"/>
      <c r="D39" s="11" t="n"/>
      <c r="E39" s="13">
        <f>IF($A39="","",IFERROR(TEXTJOIN(CHAR(10),TRUE,FILTER('Learning Objectives'!$D$2:$D$500,'Learning Objectives'!$A$2:$A$500="11–13 Years",'Learning Objectives'!$B$2:$B$500=$A39)),""))</f>
        <v/>
      </c>
      <c r="F39" s="11" t="n"/>
      <c r="G39" s="12" t="n"/>
      <c r="H39" s="12" t="n"/>
      <c r="I39" s="11" t="n"/>
      <c r="J39" s="11" t="n"/>
      <c r="K39" s="11" t="n"/>
      <c r="L39" s="12" t="n"/>
      <c r="M39" s="12" t="n"/>
      <c r="N39" s="11" t="n"/>
    </row>
    <row r="40">
      <c r="A40" s="10" t="n"/>
      <c r="B40" s="11" t="n"/>
      <c r="C40" s="12" t="n"/>
      <c r="D40" s="11" t="n"/>
      <c r="E40" s="13">
        <f>IF($A40="","",IFERROR(TEXTJOIN(CHAR(10),TRUE,FILTER('Learning Objectives'!$D$2:$D$500,'Learning Objectives'!$A$2:$A$500="11–13 Years",'Learning Objectives'!$B$2:$B$500=$A40)),""))</f>
        <v/>
      </c>
      <c r="F40" s="11" t="n"/>
      <c r="G40" s="12" t="n"/>
      <c r="H40" s="12" t="n"/>
      <c r="I40" s="11" t="n"/>
      <c r="J40" s="11" t="n"/>
      <c r="K40" s="11" t="n"/>
      <c r="L40" s="12" t="n"/>
      <c r="M40" s="12" t="n"/>
      <c r="N40" s="11" t="n"/>
    </row>
    <row r="41">
      <c r="A41" s="10" t="n"/>
      <c r="B41" s="11" t="n"/>
      <c r="C41" s="12" t="n"/>
      <c r="D41" s="11" t="n"/>
      <c r="E41" s="13">
        <f>IF($A41="","",IFERROR(TEXTJOIN(CHAR(10),TRUE,FILTER('Learning Objectives'!$D$2:$D$500,'Learning Objectives'!$A$2:$A$500="11–13 Years",'Learning Objectives'!$B$2:$B$500=$A41)),""))</f>
        <v/>
      </c>
      <c r="F41" s="11" t="n"/>
      <c r="G41" s="12" t="n"/>
      <c r="H41" s="12" t="n"/>
      <c r="I41" s="11" t="n"/>
      <c r="J41" s="11" t="n"/>
      <c r="K41" s="11" t="n"/>
      <c r="L41" s="12" t="n"/>
      <c r="M41" s="12" t="n"/>
      <c r="N41" s="11" t="n"/>
    </row>
    <row r="42">
      <c r="A42" s="10" t="n"/>
      <c r="B42" s="11" t="n"/>
      <c r="C42" s="12" t="n"/>
      <c r="D42" s="11" t="n"/>
      <c r="E42" s="13">
        <f>IF($A42="","",IFERROR(TEXTJOIN(CHAR(10),TRUE,FILTER('Learning Objectives'!$D$2:$D$500,'Learning Objectives'!$A$2:$A$500="11–13 Years",'Learning Objectives'!$B$2:$B$500=$A42)),""))</f>
        <v/>
      </c>
      <c r="F42" s="11" t="n"/>
      <c r="G42" s="12" t="n"/>
      <c r="H42" s="12" t="n"/>
      <c r="I42" s="11" t="n"/>
      <c r="J42" s="11" t="n"/>
      <c r="K42" s="11" t="n"/>
      <c r="L42" s="12" t="n"/>
      <c r="M42" s="12" t="n"/>
      <c r="N42" s="11" t="n"/>
    </row>
    <row r="43">
      <c r="A43" s="10" t="n"/>
      <c r="B43" s="11" t="n"/>
      <c r="C43" s="12" t="n"/>
      <c r="D43" s="11" t="n"/>
      <c r="E43" s="13">
        <f>IF($A43="","",IFERROR(TEXTJOIN(CHAR(10),TRUE,FILTER('Learning Objectives'!$D$2:$D$500,'Learning Objectives'!$A$2:$A$500="11–13 Years",'Learning Objectives'!$B$2:$B$500=$A43)),""))</f>
        <v/>
      </c>
      <c r="F43" s="11" t="n"/>
      <c r="G43" s="12" t="n"/>
      <c r="H43" s="12" t="n"/>
      <c r="I43" s="11" t="n"/>
      <c r="J43" s="11" t="n"/>
      <c r="K43" s="11" t="n"/>
      <c r="L43" s="12" t="n"/>
      <c r="M43" s="12" t="n"/>
      <c r="N43" s="11" t="n"/>
    </row>
    <row r="44">
      <c r="A44" s="10" t="n"/>
      <c r="B44" s="11" t="n"/>
      <c r="C44" s="12" t="n"/>
      <c r="D44" s="11" t="n"/>
      <c r="E44" s="13">
        <f>IF($A44="","",IFERROR(TEXTJOIN(CHAR(10),TRUE,FILTER('Learning Objectives'!$D$2:$D$500,'Learning Objectives'!$A$2:$A$500="11–13 Years",'Learning Objectives'!$B$2:$B$500=$A44)),""))</f>
        <v/>
      </c>
      <c r="F44" s="11" t="n"/>
      <c r="G44" s="12" t="n"/>
      <c r="H44" s="12" t="n"/>
      <c r="I44" s="11" t="n"/>
      <c r="J44" s="11" t="n"/>
      <c r="K44" s="11" t="n"/>
      <c r="L44" s="12" t="n"/>
      <c r="M44" s="12" t="n"/>
      <c r="N44" s="11" t="n"/>
    </row>
    <row r="45">
      <c r="A45" s="10" t="n"/>
      <c r="B45" s="11" t="n"/>
      <c r="C45" s="12" t="n"/>
      <c r="D45" s="11" t="n"/>
      <c r="E45" s="13">
        <f>IF($A45="","",IFERROR(TEXTJOIN(CHAR(10),TRUE,FILTER('Learning Objectives'!$D$2:$D$500,'Learning Objectives'!$A$2:$A$500="11–13 Years",'Learning Objectives'!$B$2:$B$500=$A45)),""))</f>
        <v/>
      </c>
      <c r="F45" s="11" t="n"/>
      <c r="G45" s="12" t="n"/>
      <c r="H45" s="12" t="n"/>
      <c r="I45" s="11" t="n"/>
      <c r="J45" s="11" t="n"/>
      <c r="K45" s="11" t="n"/>
      <c r="L45" s="12" t="n"/>
      <c r="M45" s="12" t="n"/>
      <c r="N45" s="11" t="n"/>
    </row>
    <row r="46">
      <c r="A46" s="10" t="n"/>
      <c r="B46" s="11" t="n"/>
      <c r="C46" s="12" t="n"/>
      <c r="D46" s="11" t="n"/>
      <c r="E46" s="13">
        <f>IF($A46="","",IFERROR(TEXTJOIN(CHAR(10),TRUE,FILTER('Learning Objectives'!$D$2:$D$500,'Learning Objectives'!$A$2:$A$500="11–13 Years",'Learning Objectives'!$B$2:$B$500=$A46)),""))</f>
        <v/>
      </c>
      <c r="F46" s="11" t="n"/>
      <c r="G46" s="12" t="n"/>
      <c r="H46" s="12" t="n"/>
      <c r="I46" s="11" t="n"/>
      <c r="J46" s="11" t="n"/>
      <c r="K46" s="11" t="n"/>
      <c r="L46" s="12" t="n"/>
      <c r="M46" s="12" t="n"/>
      <c r="N46" s="11" t="n"/>
    </row>
    <row r="47">
      <c r="A47" s="10" t="n"/>
      <c r="B47" s="11" t="n"/>
      <c r="C47" s="12" t="n"/>
      <c r="D47" s="11" t="n"/>
      <c r="E47" s="13">
        <f>IF($A47="","",IFERROR(TEXTJOIN(CHAR(10),TRUE,FILTER('Learning Objectives'!$D$2:$D$500,'Learning Objectives'!$A$2:$A$500="11–13 Years",'Learning Objectives'!$B$2:$B$500=$A47)),""))</f>
        <v/>
      </c>
      <c r="F47" s="11" t="n"/>
      <c r="G47" s="12" t="n"/>
      <c r="H47" s="12" t="n"/>
      <c r="I47" s="11" t="n"/>
      <c r="J47" s="11" t="n"/>
      <c r="K47" s="11" t="n"/>
      <c r="L47" s="12" t="n"/>
      <c r="M47" s="12" t="n"/>
      <c r="N47" s="11" t="n"/>
    </row>
    <row r="48">
      <c r="A48" s="10" t="n"/>
      <c r="B48" s="11" t="n"/>
      <c r="C48" s="12" t="n"/>
      <c r="D48" s="11" t="n"/>
      <c r="E48" s="13">
        <f>IF($A48="","",IFERROR(TEXTJOIN(CHAR(10),TRUE,FILTER('Learning Objectives'!$D$2:$D$500,'Learning Objectives'!$A$2:$A$500="11–13 Years",'Learning Objectives'!$B$2:$B$500=$A48)),""))</f>
        <v/>
      </c>
      <c r="F48" s="11" t="n"/>
      <c r="G48" s="12" t="n"/>
      <c r="H48" s="12" t="n"/>
      <c r="I48" s="11" t="n"/>
      <c r="J48" s="11" t="n"/>
      <c r="K48" s="11" t="n"/>
      <c r="L48" s="12" t="n"/>
      <c r="M48" s="12" t="n"/>
      <c r="N48" s="11" t="n"/>
    </row>
    <row r="49">
      <c r="A49" s="10" t="n"/>
      <c r="B49" s="11" t="n"/>
      <c r="C49" s="12" t="n"/>
      <c r="D49" s="11" t="n"/>
      <c r="E49" s="13">
        <f>IF($A49="","",IFERROR(TEXTJOIN(CHAR(10),TRUE,FILTER('Learning Objectives'!$D$2:$D$500,'Learning Objectives'!$A$2:$A$500="11–13 Years",'Learning Objectives'!$B$2:$B$500=$A49)),""))</f>
        <v/>
      </c>
      <c r="F49" s="11" t="n"/>
      <c r="G49" s="12" t="n"/>
      <c r="H49" s="12" t="n"/>
      <c r="I49" s="11" t="n"/>
      <c r="J49" s="11" t="n"/>
      <c r="K49" s="11" t="n"/>
      <c r="L49" s="12" t="n"/>
      <c r="M49" s="12" t="n"/>
      <c r="N49" s="11" t="n"/>
    </row>
    <row r="50">
      <c r="A50" s="10" t="n"/>
      <c r="B50" s="11" t="n"/>
      <c r="C50" s="12" t="n"/>
      <c r="D50" s="11" t="n"/>
      <c r="E50" s="13">
        <f>IF($A50="","",IFERROR(TEXTJOIN(CHAR(10),TRUE,FILTER('Learning Objectives'!$D$2:$D$500,'Learning Objectives'!$A$2:$A$500="11–13 Years",'Learning Objectives'!$B$2:$B$500=$A50)),""))</f>
        <v/>
      </c>
      <c r="F50" s="11" t="n"/>
      <c r="G50" s="12" t="n"/>
      <c r="H50" s="12" t="n"/>
      <c r="I50" s="11" t="n"/>
      <c r="J50" s="11" t="n"/>
      <c r="K50" s="11" t="n"/>
      <c r="L50" s="12" t="n"/>
      <c r="M50" s="12" t="n"/>
      <c r="N50" s="11" t="n"/>
    </row>
    <row r="51">
      <c r="A51" s="10" t="n"/>
      <c r="B51" s="11" t="n"/>
      <c r="C51" s="12" t="n"/>
      <c r="D51" s="11" t="n"/>
      <c r="E51" s="13">
        <f>IF($A51="","",IFERROR(TEXTJOIN(CHAR(10),TRUE,FILTER('Learning Objectives'!$D$2:$D$500,'Learning Objectives'!$A$2:$A$500="11–13 Years",'Learning Objectives'!$B$2:$B$500=$A51)),""))</f>
        <v/>
      </c>
      <c r="F51" s="11" t="n"/>
      <c r="G51" s="12" t="n"/>
      <c r="H51" s="12" t="n"/>
      <c r="I51" s="11" t="n"/>
      <c r="J51" s="11" t="n"/>
      <c r="K51" s="11" t="n"/>
      <c r="L51" s="12" t="n"/>
      <c r="M51" s="12" t="n"/>
      <c r="N51" s="11" t="n"/>
    </row>
    <row r="52">
      <c r="A52" s="10" t="n"/>
      <c r="B52" s="11" t="n"/>
      <c r="C52" s="12" t="n"/>
      <c r="D52" s="11" t="n"/>
      <c r="E52" s="13">
        <f>IF($A52="","",IFERROR(TEXTJOIN(CHAR(10),TRUE,FILTER('Learning Objectives'!$D$2:$D$500,'Learning Objectives'!$A$2:$A$500="11–13 Years",'Learning Objectives'!$B$2:$B$500=$A52)),""))</f>
        <v/>
      </c>
      <c r="F52" s="11" t="n"/>
      <c r="G52" s="12" t="n"/>
      <c r="H52" s="12" t="n"/>
      <c r="I52" s="11" t="n"/>
      <c r="J52" s="11" t="n"/>
      <c r="K52" s="11" t="n"/>
      <c r="L52" s="12" t="n"/>
      <c r="M52" s="12" t="n"/>
      <c r="N52" s="11" t="n"/>
    </row>
    <row r="53">
      <c r="A53" s="10" t="n"/>
      <c r="B53" s="11" t="n"/>
      <c r="C53" s="12" t="n"/>
      <c r="D53" s="11" t="n"/>
      <c r="E53" s="13">
        <f>IF($A53="","",IFERROR(TEXTJOIN(CHAR(10),TRUE,FILTER('Learning Objectives'!$D$2:$D$500,'Learning Objectives'!$A$2:$A$500="11–13 Years",'Learning Objectives'!$B$2:$B$500=$A53)),""))</f>
        <v/>
      </c>
      <c r="F53" s="11" t="n"/>
      <c r="G53" s="12" t="n"/>
      <c r="H53" s="12" t="n"/>
      <c r="I53" s="11" t="n"/>
      <c r="J53" s="11" t="n"/>
      <c r="K53" s="11" t="n"/>
      <c r="L53" s="12" t="n"/>
      <c r="M53" s="12" t="n"/>
      <c r="N53" s="11" t="n"/>
    </row>
    <row r="54">
      <c r="A54" s="10" t="n"/>
      <c r="B54" s="11" t="n"/>
      <c r="C54" s="12" t="n"/>
      <c r="D54" s="11" t="n"/>
      <c r="E54" s="13">
        <f>IF($A54="","",IFERROR(TEXTJOIN(CHAR(10),TRUE,FILTER('Learning Objectives'!$D$2:$D$500,'Learning Objectives'!$A$2:$A$500="11–13 Years",'Learning Objectives'!$B$2:$B$500=$A54)),""))</f>
        <v/>
      </c>
      <c r="F54" s="11" t="n"/>
      <c r="G54" s="12" t="n"/>
      <c r="H54" s="12" t="n"/>
      <c r="I54" s="11" t="n"/>
      <c r="J54" s="11" t="n"/>
      <c r="K54" s="11" t="n"/>
      <c r="L54" s="12" t="n"/>
      <c r="M54" s="12" t="n"/>
      <c r="N54" s="11" t="n"/>
    </row>
    <row r="55">
      <c r="A55" s="10" t="n"/>
      <c r="B55" s="11" t="n"/>
      <c r="C55" s="12" t="n"/>
      <c r="D55" s="11" t="n"/>
      <c r="E55" s="13">
        <f>IF($A55="","",IFERROR(TEXTJOIN(CHAR(10),TRUE,FILTER('Learning Objectives'!$D$2:$D$500,'Learning Objectives'!$A$2:$A$500="11–13 Years",'Learning Objectives'!$B$2:$B$500=$A55)),""))</f>
        <v/>
      </c>
      <c r="F55" s="11" t="n"/>
      <c r="G55" s="12" t="n"/>
      <c r="H55" s="12" t="n"/>
      <c r="I55" s="11" t="n"/>
      <c r="J55" s="11" t="n"/>
      <c r="K55" s="11" t="n"/>
      <c r="L55" s="12" t="n"/>
      <c r="M55" s="12" t="n"/>
      <c r="N55" s="11" t="n"/>
    </row>
    <row r="56">
      <c r="A56" s="10" t="n"/>
      <c r="B56" s="11" t="n"/>
      <c r="C56" s="12" t="n"/>
      <c r="D56" s="11" t="n"/>
      <c r="E56" s="13">
        <f>IF($A56="","",IFERROR(TEXTJOIN(CHAR(10),TRUE,FILTER('Learning Objectives'!$D$2:$D$500,'Learning Objectives'!$A$2:$A$500="11–13 Years",'Learning Objectives'!$B$2:$B$500=$A56)),""))</f>
        <v/>
      </c>
      <c r="F56" s="11" t="n"/>
      <c r="G56" s="12" t="n"/>
      <c r="H56" s="12" t="n"/>
      <c r="I56" s="11" t="n"/>
      <c r="J56" s="11" t="n"/>
      <c r="K56" s="11" t="n"/>
      <c r="L56" s="12" t="n"/>
      <c r="M56" s="12" t="n"/>
      <c r="N56" s="11" t="n"/>
    </row>
    <row r="57">
      <c r="A57" s="10" t="n"/>
      <c r="B57" s="11" t="n"/>
      <c r="C57" s="12" t="n"/>
      <c r="D57" s="11" t="n"/>
      <c r="E57" s="13">
        <f>IF($A57="","",IFERROR(TEXTJOIN(CHAR(10),TRUE,FILTER('Learning Objectives'!$D$2:$D$500,'Learning Objectives'!$A$2:$A$500="11–13 Years",'Learning Objectives'!$B$2:$B$500=$A57)),""))</f>
        <v/>
      </c>
      <c r="F57" s="11" t="n"/>
      <c r="G57" s="12" t="n"/>
      <c r="H57" s="12" t="n"/>
      <c r="I57" s="11" t="n"/>
      <c r="J57" s="11" t="n"/>
      <c r="K57" s="11" t="n"/>
      <c r="L57" s="12" t="n"/>
      <c r="M57" s="12" t="n"/>
      <c r="N57" s="11" t="n"/>
    </row>
    <row r="58">
      <c r="A58" s="10" t="n"/>
      <c r="B58" s="11" t="n"/>
      <c r="C58" s="12" t="n"/>
      <c r="D58" s="11" t="n"/>
      <c r="E58" s="13">
        <f>IF($A58="","",IFERROR(TEXTJOIN(CHAR(10),TRUE,FILTER('Learning Objectives'!$D$2:$D$500,'Learning Objectives'!$A$2:$A$500="11–13 Years",'Learning Objectives'!$B$2:$B$500=$A58)),""))</f>
        <v/>
      </c>
      <c r="F58" s="11" t="n"/>
      <c r="G58" s="12" t="n"/>
      <c r="H58" s="12" t="n"/>
      <c r="I58" s="11" t="n"/>
      <c r="J58" s="11" t="n"/>
      <c r="K58" s="11" t="n"/>
      <c r="L58" s="12" t="n"/>
      <c r="M58" s="12" t="n"/>
      <c r="N58" s="11" t="n"/>
    </row>
    <row r="59">
      <c r="A59" s="10" t="n"/>
      <c r="B59" s="11" t="n"/>
      <c r="C59" s="12" t="n"/>
      <c r="D59" s="11" t="n"/>
      <c r="E59" s="13">
        <f>IF($A59="","",IFERROR(TEXTJOIN(CHAR(10),TRUE,FILTER('Learning Objectives'!$D$2:$D$500,'Learning Objectives'!$A$2:$A$500="11–13 Years",'Learning Objectives'!$B$2:$B$500=$A59)),""))</f>
        <v/>
      </c>
      <c r="F59" s="11" t="n"/>
      <c r="G59" s="12" t="n"/>
      <c r="H59" s="12" t="n"/>
      <c r="I59" s="11" t="n"/>
      <c r="J59" s="11" t="n"/>
      <c r="K59" s="11" t="n"/>
      <c r="L59" s="12" t="n"/>
      <c r="M59" s="12" t="n"/>
      <c r="N59" s="11" t="n"/>
    </row>
    <row r="60">
      <c r="A60" s="10" t="n"/>
      <c r="B60" s="11" t="n"/>
      <c r="C60" s="12" t="n"/>
      <c r="D60" s="11" t="n"/>
      <c r="E60" s="13">
        <f>IF($A60="","",IFERROR(TEXTJOIN(CHAR(10),TRUE,FILTER('Learning Objectives'!$D$2:$D$500,'Learning Objectives'!$A$2:$A$500="11–13 Years",'Learning Objectives'!$B$2:$B$500=$A60)),""))</f>
        <v/>
      </c>
      <c r="F60" s="11" t="n"/>
      <c r="G60" s="12" t="n"/>
      <c r="H60" s="12" t="n"/>
      <c r="I60" s="11" t="n"/>
      <c r="J60" s="11" t="n"/>
      <c r="K60" s="11" t="n"/>
      <c r="L60" s="12" t="n"/>
      <c r="M60" s="12" t="n"/>
      <c r="N60" s="11" t="n"/>
    </row>
    <row r="61">
      <c r="A61" s="10" t="n"/>
      <c r="B61" s="11" t="n"/>
      <c r="C61" s="12" t="n"/>
      <c r="D61" s="11" t="n"/>
      <c r="E61" s="13">
        <f>IF($A61="","",IFERROR(TEXTJOIN(CHAR(10),TRUE,FILTER('Learning Objectives'!$D$2:$D$500,'Learning Objectives'!$A$2:$A$500="11–13 Years",'Learning Objectives'!$B$2:$B$500=$A61)),""))</f>
        <v/>
      </c>
      <c r="F61" s="11" t="n"/>
      <c r="G61" s="12" t="n"/>
      <c r="H61" s="12" t="n"/>
      <c r="I61" s="11" t="n"/>
      <c r="J61" s="11" t="n"/>
      <c r="K61" s="11" t="n"/>
      <c r="L61" s="12" t="n"/>
      <c r="M61" s="12" t="n"/>
      <c r="N61" s="11" t="n"/>
    </row>
    <row r="62">
      <c r="A62" s="10" t="n"/>
      <c r="B62" s="11" t="n"/>
      <c r="C62" s="12" t="n"/>
      <c r="D62" s="11" t="n"/>
      <c r="E62" s="13">
        <f>IF($A62="","",IFERROR(TEXTJOIN(CHAR(10),TRUE,FILTER('Learning Objectives'!$D$2:$D$500,'Learning Objectives'!$A$2:$A$500="11–13 Years",'Learning Objectives'!$B$2:$B$500=$A62)),""))</f>
        <v/>
      </c>
      <c r="F62" s="11" t="n"/>
      <c r="G62" s="12" t="n"/>
      <c r="H62" s="12" t="n"/>
      <c r="I62" s="11" t="n"/>
      <c r="J62" s="11" t="n"/>
      <c r="K62" s="11" t="n"/>
      <c r="L62" s="12" t="n"/>
      <c r="M62" s="12" t="n"/>
      <c r="N62" s="11" t="n"/>
    </row>
    <row r="63">
      <c r="A63" s="10" t="n"/>
      <c r="B63" s="11" t="n"/>
      <c r="C63" s="12" t="n"/>
      <c r="D63" s="11" t="n"/>
      <c r="E63" s="13">
        <f>IF($A63="","",IFERROR(TEXTJOIN(CHAR(10),TRUE,FILTER('Learning Objectives'!$D$2:$D$500,'Learning Objectives'!$A$2:$A$500="11–13 Years",'Learning Objectives'!$B$2:$B$500=$A63)),""))</f>
        <v/>
      </c>
      <c r="F63" s="11" t="n"/>
      <c r="G63" s="12" t="n"/>
      <c r="H63" s="12" t="n"/>
      <c r="I63" s="11" t="n"/>
      <c r="J63" s="11" t="n"/>
      <c r="K63" s="11" t="n"/>
      <c r="L63" s="12" t="n"/>
      <c r="M63" s="12" t="n"/>
      <c r="N63" s="11" t="n"/>
    </row>
    <row r="64">
      <c r="A64" s="10" t="n"/>
      <c r="B64" s="11" t="n"/>
      <c r="C64" s="12" t="n"/>
      <c r="D64" s="11" t="n"/>
      <c r="E64" s="13">
        <f>IF($A64="","",IFERROR(TEXTJOIN(CHAR(10),TRUE,FILTER('Learning Objectives'!$D$2:$D$500,'Learning Objectives'!$A$2:$A$500="11–13 Years",'Learning Objectives'!$B$2:$B$500=$A64)),""))</f>
        <v/>
      </c>
      <c r="F64" s="11" t="n"/>
      <c r="G64" s="12" t="n"/>
      <c r="H64" s="12" t="n"/>
      <c r="I64" s="11" t="n"/>
      <c r="J64" s="11" t="n"/>
      <c r="K64" s="11" t="n"/>
      <c r="L64" s="12" t="n"/>
      <c r="M64" s="12" t="n"/>
      <c r="N64" s="11" t="n"/>
    </row>
    <row r="65">
      <c r="A65" s="10" t="n"/>
      <c r="B65" s="11" t="n"/>
      <c r="C65" s="12" t="n"/>
      <c r="D65" s="11" t="n"/>
      <c r="E65" s="13">
        <f>IF($A65="","",IFERROR(TEXTJOIN(CHAR(10),TRUE,FILTER('Learning Objectives'!$D$2:$D$500,'Learning Objectives'!$A$2:$A$500="11–13 Years",'Learning Objectives'!$B$2:$B$500=$A65)),""))</f>
        <v/>
      </c>
      <c r="F65" s="11" t="n"/>
      <c r="G65" s="12" t="n"/>
      <c r="H65" s="12" t="n"/>
      <c r="I65" s="11" t="n"/>
      <c r="J65" s="11" t="n"/>
      <c r="K65" s="11" t="n"/>
      <c r="L65" s="12" t="n"/>
      <c r="M65" s="12" t="n"/>
      <c r="N65" s="11" t="n"/>
    </row>
    <row r="66">
      <c r="A66" s="10" t="n"/>
      <c r="B66" s="11" t="n"/>
      <c r="C66" s="12" t="n"/>
      <c r="D66" s="11" t="n"/>
      <c r="E66" s="13">
        <f>IF($A66="","",IFERROR(TEXTJOIN(CHAR(10),TRUE,FILTER('Learning Objectives'!$D$2:$D$500,'Learning Objectives'!$A$2:$A$500="11–13 Years",'Learning Objectives'!$B$2:$B$500=$A66)),""))</f>
        <v/>
      </c>
      <c r="F66" s="11" t="n"/>
      <c r="G66" s="12" t="n"/>
      <c r="H66" s="12" t="n"/>
      <c r="I66" s="11" t="n"/>
      <c r="J66" s="11" t="n"/>
      <c r="K66" s="11" t="n"/>
      <c r="L66" s="12" t="n"/>
      <c r="M66" s="12" t="n"/>
      <c r="N66" s="11" t="n"/>
    </row>
    <row r="67">
      <c r="A67" s="10" t="n"/>
      <c r="B67" s="11" t="n"/>
      <c r="C67" s="12" t="n"/>
      <c r="D67" s="11" t="n"/>
      <c r="E67" s="13">
        <f>IF($A67="","",IFERROR(TEXTJOIN(CHAR(10),TRUE,FILTER('Learning Objectives'!$D$2:$D$500,'Learning Objectives'!$A$2:$A$500="11–13 Years",'Learning Objectives'!$B$2:$B$500=$A67)),""))</f>
        <v/>
      </c>
      <c r="F67" s="11" t="n"/>
      <c r="G67" s="12" t="n"/>
      <c r="H67" s="12" t="n"/>
      <c r="I67" s="11" t="n"/>
      <c r="J67" s="11" t="n"/>
      <c r="K67" s="11" t="n"/>
      <c r="L67" s="12" t="n"/>
      <c r="M67" s="12" t="n"/>
      <c r="N67" s="11" t="n"/>
    </row>
    <row r="68">
      <c r="A68" s="10" t="n"/>
      <c r="B68" s="11" t="n"/>
      <c r="C68" s="12" t="n"/>
      <c r="D68" s="11" t="n"/>
      <c r="E68" s="13">
        <f>IF($A68="","",IFERROR(TEXTJOIN(CHAR(10),TRUE,FILTER('Learning Objectives'!$D$2:$D$500,'Learning Objectives'!$A$2:$A$500="11–13 Years",'Learning Objectives'!$B$2:$B$500=$A68)),""))</f>
        <v/>
      </c>
      <c r="F68" s="11" t="n"/>
      <c r="G68" s="12" t="n"/>
      <c r="H68" s="12" t="n"/>
      <c r="I68" s="11" t="n"/>
      <c r="J68" s="11" t="n"/>
      <c r="K68" s="11" t="n"/>
      <c r="L68" s="12" t="n"/>
      <c r="M68" s="12" t="n"/>
      <c r="N68" s="11" t="n"/>
    </row>
    <row r="69">
      <c r="A69" s="10" t="n"/>
      <c r="B69" s="11" t="n"/>
      <c r="C69" s="12" t="n"/>
      <c r="D69" s="11" t="n"/>
      <c r="E69" s="13">
        <f>IF($A69="","",IFERROR(TEXTJOIN(CHAR(10),TRUE,FILTER('Learning Objectives'!$D$2:$D$500,'Learning Objectives'!$A$2:$A$500="11–13 Years",'Learning Objectives'!$B$2:$B$500=$A69)),""))</f>
        <v/>
      </c>
      <c r="F69" s="11" t="n"/>
      <c r="G69" s="12" t="n"/>
      <c r="H69" s="12" t="n"/>
      <c r="I69" s="11" t="n"/>
      <c r="J69" s="11" t="n"/>
      <c r="K69" s="11" t="n"/>
      <c r="L69" s="12" t="n"/>
      <c r="M69" s="12" t="n"/>
      <c r="N69" s="11" t="n"/>
    </row>
    <row r="70">
      <c r="A70" s="10" t="n"/>
      <c r="B70" s="11" t="n"/>
      <c r="C70" s="12" t="n"/>
      <c r="D70" s="11" t="n"/>
      <c r="E70" s="13">
        <f>IF($A70="","",IFERROR(TEXTJOIN(CHAR(10),TRUE,FILTER('Learning Objectives'!$D$2:$D$500,'Learning Objectives'!$A$2:$A$500="11–13 Years",'Learning Objectives'!$B$2:$B$500=$A70)),""))</f>
        <v/>
      </c>
      <c r="F70" s="11" t="n"/>
      <c r="G70" s="12" t="n"/>
      <c r="H70" s="12" t="n"/>
      <c r="I70" s="11" t="n"/>
      <c r="J70" s="11" t="n"/>
      <c r="K70" s="11" t="n"/>
      <c r="L70" s="12" t="n"/>
      <c r="M70" s="12" t="n"/>
      <c r="N70" s="11" t="n"/>
    </row>
    <row r="71">
      <c r="A71" s="10" t="n"/>
      <c r="B71" s="11" t="n"/>
      <c r="C71" s="12" t="n"/>
      <c r="D71" s="11" t="n"/>
      <c r="E71" s="13">
        <f>IF($A71="","",IFERROR(TEXTJOIN(CHAR(10),TRUE,FILTER('Learning Objectives'!$D$2:$D$500,'Learning Objectives'!$A$2:$A$500="11–13 Years",'Learning Objectives'!$B$2:$B$500=$A71)),""))</f>
        <v/>
      </c>
      <c r="F71" s="11" t="n"/>
      <c r="G71" s="12" t="n"/>
      <c r="H71" s="12" t="n"/>
      <c r="I71" s="11" t="n"/>
      <c r="J71" s="11" t="n"/>
      <c r="K71" s="11" t="n"/>
      <c r="L71" s="12" t="n"/>
      <c r="M71" s="12" t="n"/>
      <c r="N71" s="11" t="n"/>
    </row>
    <row r="72">
      <c r="A72" s="10" t="n"/>
      <c r="B72" s="11" t="n"/>
      <c r="C72" s="12" t="n"/>
      <c r="D72" s="11" t="n"/>
      <c r="E72" s="13">
        <f>IF($A72="","",IFERROR(TEXTJOIN(CHAR(10),TRUE,FILTER('Learning Objectives'!$D$2:$D$500,'Learning Objectives'!$A$2:$A$500="11–13 Years",'Learning Objectives'!$B$2:$B$500=$A72)),""))</f>
        <v/>
      </c>
      <c r="F72" s="11" t="n"/>
      <c r="G72" s="12" t="n"/>
      <c r="H72" s="12" t="n"/>
      <c r="I72" s="11" t="n"/>
      <c r="J72" s="11" t="n"/>
      <c r="K72" s="11" t="n"/>
      <c r="L72" s="12" t="n"/>
      <c r="M72" s="12" t="n"/>
      <c r="N72" s="11" t="n"/>
    </row>
    <row r="73">
      <c r="A73" s="10" t="n"/>
      <c r="B73" s="11" t="n"/>
      <c r="C73" s="12" t="n"/>
      <c r="D73" s="11" t="n"/>
      <c r="E73" s="13">
        <f>IF($A73="","",IFERROR(TEXTJOIN(CHAR(10),TRUE,FILTER('Learning Objectives'!$D$2:$D$500,'Learning Objectives'!$A$2:$A$500="11–13 Years",'Learning Objectives'!$B$2:$B$500=$A73)),""))</f>
        <v/>
      </c>
      <c r="F73" s="11" t="n"/>
      <c r="G73" s="12" t="n"/>
      <c r="H73" s="12" t="n"/>
      <c r="I73" s="11" t="n"/>
      <c r="J73" s="11" t="n"/>
      <c r="K73" s="11" t="n"/>
      <c r="L73" s="12" t="n"/>
      <c r="M73" s="12" t="n"/>
      <c r="N73" s="11" t="n"/>
    </row>
    <row r="74">
      <c r="A74" s="10" t="n"/>
      <c r="B74" s="11" t="n"/>
      <c r="C74" s="12" t="n"/>
      <c r="D74" s="11" t="n"/>
      <c r="E74" s="13">
        <f>IF($A74="","",IFERROR(TEXTJOIN(CHAR(10),TRUE,FILTER('Learning Objectives'!$D$2:$D$500,'Learning Objectives'!$A$2:$A$500="11–13 Years",'Learning Objectives'!$B$2:$B$500=$A74)),""))</f>
        <v/>
      </c>
      <c r="F74" s="11" t="n"/>
      <c r="G74" s="12" t="n"/>
      <c r="H74" s="12" t="n"/>
      <c r="I74" s="11" t="n"/>
      <c r="J74" s="11" t="n"/>
      <c r="K74" s="11" t="n"/>
      <c r="L74" s="12" t="n"/>
      <c r="M74" s="12" t="n"/>
      <c r="N74" s="11" t="n"/>
    </row>
    <row r="75">
      <c r="A75" s="10" t="n"/>
      <c r="B75" s="11" t="n"/>
      <c r="C75" s="12" t="n"/>
      <c r="D75" s="11" t="n"/>
      <c r="E75" s="13">
        <f>IF($A75="","",IFERROR(TEXTJOIN(CHAR(10),TRUE,FILTER('Learning Objectives'!$D$2:$D$500,'Learning Objectives'!$A$2:$A$500="11–13 Years",'Learning Objectives'!$B$2:$B$500=$A75)),""))</f>
        <v/>
      </c>
      <c r="F75" s="11" t="n"/>
      <c r="G75" s="12" t="n"/>
      <c r="H75" s="12" t="n"/>
      <c r="I75" s="11" t="n"/>
      <c r="J75" s="11" t="n"/>
      <c r="K75" s="11" t="n"/>
      <c r="L75" s="12" t="n"/>
      <c r="M75" s="12" t="n"/>
      <c r="N75" s="11" t="n"/>
    </row>
    <row r="76">
      <c r="A76" s="10" t="n"/>
      <c r="B76" s="11" t="n"/>
      <c r="C76" s="12" t="n"/>
      <c r="D76" s="11" t="n"/>
      <c r="E76" s="13">
        <f>IF($A76="","",IFERROR(TEXTJOIN(CHAR(10),TRUE,FILTER('Learning Objectives'!$D$2:$D$500,'Learning Objectives'!$A$2:$A$500="11–13 Years",'Learning Objectives'!$B$2:$B$500=$A76)),""))</f>
        <v/>
      </c>
      <c r="F76" s="11" t="n"/>
      <c r="G76" s="12" t="n"/>
      <c r="H76" s="12" t="n"/>
      <c r="I76" s="11" t="n"/>
      <c r="J76" s="11" t="n"/>
      <c r="K76" s="11" t="n"/>
      <c r="L76" s="12" t="n"/>
      <c r="M76" s="12" t="n"/>
      <c r="N76" s="11" t="n"/>
    </row>
    <row r="77">
      <c r="A77" s="10" t="n"/>
      <c r="B77" s="11" t="n"/>
      <c r="C77" s="12" t="n"/>
      <c r="D77" s="11" t="n"/>
      <c r="E77" s="13">
        <f>IF($A77="","",IFERROR(TEXTJOIN(CHAR(10),TRUE,FILTER('Learning Objectives'!$D$2:$D$500,'Learning Objectives'!$A$2:$A$500="11–13 Years",'Learning Objectives'!$B$2:$B$500=$A77)),""))</f>
        <v/>
      </c>
      <c r="F77" s="11" t="n"/>
      <c r="G77" s="12" t="n"/>
      <c r="H77" s="12" t="n"/>
      <c r="I77" s="11" t="n"/>
      <c r="J77" s="11" t="n"/>
      <c r="K77" s="11" t="n"/>
      <c r="L77" s="12" t="n"/>
      <c r="M77" s="12" t="n"/>
      <c r="N77" s="11" t="n"/>
    </row>
    <row r="78">
      <c r="A78" s="10" t="n"/>
      <c r="B78" s="11" t="n"/>
      <c r="C78" s="12" t="n"/>
      <c r="D78" s="11" t="n"/>
      <c r="E78" s="13">
        <f>IF($A78="","",IFERROR(TEXTJOIN(CHAR(10),TRUE,FILTER('Learning Objectives'!$D$2:$D$500,'Learning Objectives'!$A$2:$A$500="11–13 Years",'Learning Objectives'!$B$2:$B$500=$A78)),""))</f>
        <v/>
      </c>
      <c r="F78" s="11" t="n"/>
      <c r="G78" s="12" t="n"/>
      <c r="H78" s="12" t="n"/>
      <c r="I78" s="11" t="n"/>
      <c r="J78" s="11" t="n"/>
      <c r="K78" s="11" t="n"/>
      <c r="L78" s="12" t="n"/>
      <c r="M78" s="12" t="n"/>
      <c r="N78" s="11" t="n"/>
    </row>
    <row r="79">
      <c r="A79" s="10" t="n"/>
      <c r="B79" s="11" t="n"/>
      <c r="C79" s="12" t="n"/>
      <c r="D79" s="11" t="n"/>
      <c r="E79" s="13">
        <f>IF($A79="","",IFERROR(TEXTJOIN(CHAR(10),TRUE,FILTER('Learning Objectives'!$D$2:$D$500,'Learning Objectives'!$A$2:$A$500="11–13 Years",'Learning Objectives'!$B$2:$B$500=$A79)),""))</f>
        <v/>
      </c>
      <c r="F79" s="11" t="n"/>
      <c r="G79" s="12" t="n"/>
      <c r="H79" s="12" t="n"/>
      <c r="I79" s="11" t="n"/>
      <c r="J79" s="11" t="n"/>
      <c r="K79" s="11" t="n"/>
      <c r="L79" s="12" t="n"/>
      <c r="M79" s="12" t="n"/>
      <c r="N79" s="11" t="n"/>
    </row>
    <row r="80">
      <c r="A80" s="10" t="n"/>
      <c r="B80" s="11" t="n"/>
      <c r="C80" s="12" t="n"/>
      <c r="D80" s="11" t="n"/>
      <c r="E80" s="13">
        <f>IF($A80="","",IFERROR(TEXTJOIN(CHAR(10),TRUE,FILTER('Learning Objectives'!$D$2:$D$500,'Learning Objectives'!$A$2:$A$500="11–13 Years",'Learning Objectives'!$B$2:$B$500=$A80)),""))</f>
        <v/>
      </c>
      <c r="F80" s="11" t="n"/>
      <c r="G80" s="12" t="n"/>
      <c r="H80" s="12" t="n"/>
      <c r="I80" s="11" t="n"/>
      <c r="J80" s="11" t="n"/>
      <c r="K80" s="11" t="n"/>
      <c r="L80" s="12" t="n"/>
      <c r="M80" s="12" t="n"/>
      <c r="N80" s="11" t="n"/>
    </row>
    <row r="81">
      <c r="A81" s="10" t="n"/>
      <c r="B81" s="11" t="n"/>
      <c r="C81" s="12" t="n"/>
      <c r="D81" s="11" t="n"/>
      <c r="E81" s="13">
        <f>IF($A81="","",IFERROR(TEXTJOIN(CHAR(10),TRUE,FILTER('Learning Objectives'!$D$2:$D$500,'Learning Objectives'!$A$2:$A$500="11–13 Years",'Learning Objectives'!$B$2:$B$500=$A81)),""))</f>
        <v/>
      </c>
      <c r="F81" s="11" t="n"/>
      <c r="G81" s="12" t="n"/>
      <c r="H81" s="12" t="n"/>
      <c r="I81" s="11" t="n"/>
      <c r="J81" s="11" t="n"/>
      <c r="K81" s="11" t="n"/>
      <c r="L81" s="12" t="n"/>
      <c r="M81" s="12" t="n"/>
      <c r="N81" s="11" t="n"/>
    </row>
    <row r="82">
      <c r="A82" s="10" t="n"/>
      <c r="B82" s="11" t="n"/>
      <c r="C82" s="12" t="n"/>
      <c r="D82" s="11" t="n"/>
      <c r="E82" s="13">
        <f>IF($A82="","",IFERROR(TEXTJOIN(CHAR(10),TRUE,FILTER('Learning Objectives'!$D$2:$D$500,'Learning Objectives'!$A$2:$A$500="11–13 Years",'Learning Objectives'!$B$2:$B$500=$A82)),""))</f>
        <v/>
      </c>
      <c r="F82" s="11" t="n"/>
      <c r="G82" s="12" t="n"/>
      <c r="H82" s="12" t="n"/>
      <c r="I82" s="11" t="n"/>
      <c r="J82" s="11" t="n"/>
      <c r="K82" s="11" t="n"/>
      <c r="L82" s="12" t="n"/>
      <c r="M82" s="12" t="n"/>
      <c r="N82" s="11" t="n"/>
    </row>
    <row r="83">
      <c r="A83" s="10" t="n"/>
      <c r="B83" s="11" t="n"/>
      <c r="C83" s="12" t="n"/>
      <c r="D83" s="11" t="n"/>
      <c r="E83" s="13">
        <f>IF($A83="","",IFERROR(TEXTJOIN(CHAR(10),TRUE,FILTER('Learning Objectives'!$D$2:$D$500,'Learning Objectives'!$A$2:$A$500="11–13 Years",'Learning Objectives'!$B$2:$B$500=$A83)),""))</f>
        <v/>
      </c>
      <c r="F83" s="11" t="n"/>
      <c r="G83" s="12" t="n"/>
      <c r="H83" s="12" t="n"/>
      <c r="I83" s="11" t="n"/>
      <c r="J83" s="11" t="n"/>
      <c r="K83" s="11" t="n"/>
      <c r="L83" s="12" t="n"/>
      <c r="M83" s="12" t="n"/>
      <c r="N83" s="11" t="n"/>
    </row>
    <row r="84">
      <c r="A84" s="10" t="n"/>
      <c r="B84" s="11" t="n"/>
      <c r="C84" s="12" t="n"/>
      <c r="D84" s="11" t="n"/>
      <c r="E84" s="13">
        <f>IF($A84="","",IFERROR(TEXTJOIN(CHAR(10),TRUE,FILTER('Learning Objectives'!$D$2:$D$500,'Learning Objectives'!$A$2:$A$500="11–13 Years",'Learning Objectives'!$B$2:$B$500=$A84)),""))</f>
        <v/>
      </c>
      <c r="F84" s="11" t="n"/>
      <c r="G84" s="12" t="n"/>
      <c r="H84" s="12" t="n"/>
      <c r="I84" s="11" t="n"/>
      <c r="J84" s="11" t="n"/>
      <c r="K84" s="11" t="n"/>
      <c r="L84" s="12" t="n"/>
      <c r="M84" s="12" t="n"/>
      <c r="N84" s="11" t="n"/>
    </row>
    <row r="85">
      <c r="A85" s="10" t="n"/>
      <c r="B85" s="11" t="n"/>
      <c r="C85" s="12" t="n"/>
      <c r="D85" s="11" t="n"/>
      <c r="E85" s="13">
        <f>IF($A85="","",IFERROR(TEXTJOIN(CHAR(10),TRUE,FILTER('Learning Objectives'!$D$2:$D$500,'Learning Objectives'!$A$2:$A$500="11–13 Years",'Learning Objectives'!$B$2:$B$500=$A85)),""))</f>
        <v/>
      </c>
      <c r="F85" s="11" t="n"/>
      <c r="G85" s="12" t="n"/>
      <c r="H85" s="12" t="n"/>
      <c r="I85" s="11" t="n"/>
      <c r="J85" s="11" t="n"/>
      <c r="K85" s="11" t="n"/>
      <c r="L85" s="12" t="n"/>
      <c r="M85" s="12" t="n"/>
      <c r="N85" s="11" t="n"/>
    </row>
    <row r="86">
      <c r="A86" s="10" t="n"/>
      <c r="B86" s="11" t="n"/>
      <c r="C86" s="12" t="n"/>
      <c r="D86" s="11" t="n"/>
      <c r="E86" s="13">
        <f>IF($A86="","",IFERROR(TEXTJOIN(CHAR(10),TRUE,FILTER('Learning Objectives'!$D$2:$D$500,'Learning Objectives'!$A$2:$A$500="11–13 Years",'Learning Objectives'!$B$2:$B$500=$A86)),""))</f>
        <v/>
      </c>
      <c r="F86" s="11" t="n"/>
      <c r="G86" s="12" t="n"/>
      <c r="H86" s="12" t="n"/>
      <c r="I86" s="11" t="n"/>
      <c r="J86" s="11" t="n"/>
      <c r="K86" s="11" t="n"/>
      <c r="L86" s="12" t="n"/>
      <c r="M86" s="12" t="n"/>
      <c r="N86" s="11" t="n"/>
    </row>
    <row r="87">
      <c r="A87" s="10" t="n"/>
      <c r="B87" s="11" t="n"/>
      <c r="C87" s="12" t="n"/>
      <c r="D87" s="11" t="n"/>
      <c r="E87" s="13">
        <f>IF($A87="","",IFERROR(TEXTJOIN(CHAR(10),TRUE,FILTER('Learning Objectives'!$D$2:$D$500,'Learning Objectives'!$A$2:$A$500="11–13 Years",'Learning Objectives'!$B$2:$B$500=$A87)),""))</f>
        <v/>
      </c>
      <c r="F87" s="11" t="n"/>
      <c r="G87" s="12" t="n"/>
      <c r="H87" s="12" t="n"/>
      <c r="I87" s="11" t="n"/>
      <c r="J87" s="11" t="n"/>
      <c r="K87" s="11" t="n"/>
      <c r="L87" s="12" t="n"/>
      <c r="M87" s="12" t="n"/>
      <c r="N87" s="11" t="n"/>
    </row>
    <row r="88">
      <c r="A88" s="10" t="n"/>
      <c r="B88" s="11" t="n"/>
      <c r="C88" s="12" t="n"/>
      <c r="D88" s="11" t="n"/>
      <c r="E88" s="13">
        <f>IF($A88="","",IFERROR(TEXTJOIN(CHAR(10),TRUE,FILTER('Learning Objectives'!$D$2:$D$500,'Learning Objectives'!$A$2:$A$500="11–13 Years",'Learning Objectives'!$B$2:$B$500=$A88)),""))</f>
        <v/>
      </c>
      <c r="F88" s="11" t="n"/>
      <c r="G88" s="12" t="n"/>
      <c r="H88" s="12" t="n"/>
      <c r="I88" s="11" t="n"/>
      <c r="J88" s="11" t="n"/>
      <c r="K88" s="11" t="n"/>
      <c r="L88" s="12" t="n"/>
      <c r="M88" s="12" t="n"/>
      <c r="N88" s="11" t="n"/>
    </row>
    <row r="89">
      <c r="A89" s="10" t="n"/>
      <c r="B89" s="11" t="n"/>
      <c r="C89" s="12" t="n"/>
      <c r="D89" s="11" t="n"/>
      <c r="E89" s="13">
        <f>IF($A89="","",IFERROR(TEXTJOIN(CHAR(10),TRUE,FILTER('Learning Objectives'!$D$2:$D$500,'Learning Objectives'!$A$2:$A$500="11–13 Years",'Learning Objectives'!$B$2:$B$500=$A89)),""))</f>
        <v/>
      </c>
      <c r="F89" s="11" t="n"/>
      <c r="G89" s="12" t="n"/>
      <c r="H89" s="12" t="n"/>
      <c r="I89" s="11" t="n"/>
      <c r="J89" s="11" t="n"/>
      <c r="K89" s="11" t="n"/>
      <c r="L89" s="12" t="n"/>
      <c r="M89" s="12" t="n"/>
      <c r="N89" s="11" t="n"/>
    </row>
    <row r="90">
      <c r="A90" s="10" t="n"/>
      <c r="B90" s="11" t="n"/>
      <c r="C90" s="12" t="n"/>
      <c r="D90" s="11" t="n"/>
      <c r="E90" s="13">
        <f>IF($A90="","",IFERROR(TEXTJOIN(CHAR(10),TRUE,FILTER('Learning Objectives'!$D$2:$D$500,'Learning Objectives'!$A$2:$A$500="11–13 Years",'Learning Objectives'!$B$2:$B$500=$A90)),""))</f>
        <v/>
      </c>
      <c r="F90" s="11" t="n"/>
      <c r="G90" s="12" t="n"/>
      <c r="H90" s="12" t="n"/>
      <c r="I90" s="11" t="n"/>
      <c r="J90" s="11" t="n"/>
      <c r="K90" s="11" t="n"/>
      <c r="L90" s="12" t="n"/>
      <c r="M90" s="12" t="n"/>
      <c r="N90" s="11" t="n"/>
    </row>
    <row r="91">
      <c r="A91" s="10" t="n"/>
      <c r="B91" s="11" t="n"/>
      <c r="C91" s="12" t="n"/>
      <c r="D91" s="11" t="n"/>
      <c r="E91" s="13">
        <f>IF($A91="","",IFERROR(TEXTJOIN(CHAR(10),TRUE,FILTER('Learning Objectives'!$D$2:$D$500,'Learning Objectives'!$A$2:$A$500="11–13 Years",'Learning Objectives'!$B$2:$B$500=$A91)),""))</f>
        <v/>
      </c>
      <c r="F91" s="11" t="n"/>
      <c r="G91" s="12" t="n"/>
      <c r="H91" s="12" t="n"/>
      <c r="I91" s="11" t="n"/>
      <c r="J91" s="11" t="n"/>
      <c r="K91" s="11" t="n"/>
      <c r="L91" s="12" t="n"/>
      <c r="M91" s="12" t="n"/>
      <c r="N91" s="11" t="n"/>
    </row>
    <row r="92">
      <c r="A92" s="10" t="n"/>
      <c r="B92" s="11" t="n"/>
      <c r="C92" s="12" t="n"/>
      <c r="D92" s="11" t="n"/>
      <c r="E92" s="13">
        <f>IF($A92="","",IFERROR(TEXTJOIN(CHAR(10),TRUE,FILTER('Learning Objectives'!$D$2:$D$500,'Learning Objectives'!$A$2:$A$500="11–13 Years",'Learning Objectives'!$B$2:$B$500=$A92)),""))</f>
        <v/>
      </c>
      <c r="F92" s="11" t="n"/>
      <c r="G92" s="12" t="n"/>
      <c r="H92" s="12" t="n"/>
      <c r="I92" s="11" t="n"/>
      <c r="J92" s="11" t="n"/>
      <c r="K92" s="11" t="n"/>
      <c r="L92" s="12" t="n"/>
      <c r="M92" s="12" t="n"/>
      <c r="N92" s="11" t="n"/>
    </row>
    <row r="93">
      <c r="A93" s="10" t="n"/>
      <c r="B93" s="11" t="n"/>
      <c r="C93" s="12" t="n"/>
      <c r="D93" s="11" t="n"/>
      <c r="E93" s="13">
        <f>IF($A93="","",IFERROR(TEXTJOIN(CHAR(10),TRUE,FILTER('Learning Objectives'!$D$2:$D$500,'Learning Objectives'!$A$2:$A$500="11–13 Years",'Learning Objectives'!$B$2:$B$500=$A93)),""))</f>
        <v/>
      </c>
      <c r="F93" s="11" t="n"/>
      <c r="G93" s="12" t="n"/>
      <c r="H93" s="12" t="n"/>
      <c r="I93" s="11" t="n"/>
      <c r="J93" s="11" t="n"/>
      <c r="K93" s="11" t="n"/>
      <c r="L93" s="12" t="n"/>
      <c r="M93" s="12" t="n"/>
      <c r="N93" s="11" t="n"/>
    </row>
    <row r="94">
      <c r="A94" s="10" t="n"/>
      <c r="B94" s="11" t="n"/>
      <c r="C94" s="12" t="n"/>
      <c r="D94" s="11" t="n"/>
      <c r="E94" s="13">
        <f>IF($A94="","",IFERROR(TEXTJOIN(CHAR(10),TRUE,FILTER('Learning Objectives'!$D$2:$D$500,'Learning Objectives'!$A$2:$A$500="11–13 Years",'Learning Objectives'!$B$2:$B$500=$A94)),""))</f>
        <v/>
      </c>
      <c r="F94" s="11" t="n"/>
      <c r="G94" s="12" t="n"/>
      <c r="H94" s="12" t="n"/>
      <c r="I94" s="11" t="n"/>
      <c r="J94" s="11" t="n"/>
      <c r="K94" s="11" t="n"/>
      <c r="L94" s="12" t="n"/>
      <c r="M94" s="12" t="n"/>
      <c r="N94" s="11" t="n"/>
    </row>
    <row r="95">
      <c r="A95" s="10" t="n"/>
      <c r="B95" s="11" t="n"/>
      <c r="C95" s="12" t="n"/>
      <c r="D95" s="11" t="n"/>
      <c r="E95" s="13">
        <f>IF($A95="","",IFERROR(TEXTJOIN(CHAR(10),TRUE,FILTER('Learning Objectives'!$D$2:$D$500,'Learning Objectives'!$A$2:$A$500="11–13 Years",'Learning Objectives'!$B$2:$B$500=$A95)),""))</f>
        <v/>
      </c>
      <c r="F95" s="11" t="n"/>
      <c r="G95" s="12" t="n"/>
      <c r="H95" s="12" t="n"/>
      <c r="I95" s="11" t="n"/>
      <c r="J95" s="11" t="n"/>
      <c r="K95" s="11" t="n"/>
      <c r="L95" s="12" t="n"/>
      <c r="M95" s="12" t="n"/>
      <c r="N95" s="11" t="n"/>
    </row>
    <row r="96">
      <c r="A96" s="10" t="n"/>
      <c r="B96" s="11" t="n"/>
      <c r="C96" s="12" t="n"/>
      <c r="D96" s="11" t="n"/>
      <c r="E96" s="13">
        <f>IF($A96="","",IFERROR(TEXTJOIN(CHAR(10),TRUE,FILTER('Learning Objectives'!$D$2:$D$500,'Learning Objectives'!$A$2:$A$500="11–13 Years",'Learning Objectives'!$B$2:$B$500=$A96)),""))</f>
        <v/>
      </c>
      <c r="F96" s="11" t="n"/>
      <c r="G96" s="12" t="n"/>
      <c r="H96" s="12" t="n"/>
      <c r="I96" s="11" t="n"/>
      <c r="J96" s="11" t="n"/>
      <c r="K96" s="11" t="n"/>
      <c r="L96" s="12" t="n"/>
      <c r="M96" s="12" t="n"/>
      <c r="N96" s="11" t="n"/>
    </row>
    <row r="97">
      <c r="A97" s="10" t="n"/>
      <c r="B97" s="11" t="n"/>
      <c r="C97" s="12" t="n"/>
      <c r="D97" s="11" t="n"/>
      <c r="E97" s="13">
        <f>IF($A97="","",IFERROR(TEXTJOIN(CHAR(10),TRUE,FILTER('Learning Objectives'!$D$2:$D$500,'Learning Objectives'!$A$2:$A$500="11–13 Years",'Learning Objectives'!$B$2:$B$500=$A97)),""))</f>
        <v/>
      </c>
      <c r="F97" s="11" t="n"/>
      <c r="G97" s="12" t="n"/>
      <c r="H97" s="12" t="n"/>
      <c r="I97" s="11" t="n"/>
      <c r="J97" s="11" t="n"/>
      <c r="K97" s="11" t="n"/>
      <c r="L97" s="12" t="n"/>
      <c r="M97" s="12" t="n"/>
      <c r="N97" s="11" t="n"/>
    </row>
    <row r="98">
      <c r="A98" s="10" t="n"/>
      <c r="B98" s="11" t="n"/>
      <c r="C98" s="12" t="n"/>
      <c r="D98" s="11" t="n"/>
      <c r="E98" s="13">
        <f>IF($A98="","",IFERROR(TEXTJOIN(CHAR(10),TRUE,FILTER('Learning Objectives'!$D$2:$D$500,'Learning Objectives'!$A$2:$A$500="11–13 Years",'Learning Objectives'!$B$2:$B$500=$A98)),""))</f>
        <v/>
      </c>
      <c r="F98" s="11" t="n"/>
      <c r="G98" s="12" t="n"/>
      <c r="H98" s="12" t="n"/>
      <c r="I98" s="11" t="n"/>
      <c r="J98" s="11" t="n"/>
      <c r="K98" s="11" t="n"/>
      <c r="L98" s="12" t="n"/>
      <c r="M98" s="12" t="n"/>
      <c r="N98" s="11" t="n"/>
    </row>
    <row r="99">
      <c r="A99" s="10" t="n"/>
      <c r="B99" s="11" t="n"/>
      <c r="C99" s="12" t="n"/>
      <c r="D99" s="11" t="n"/>
      <c r="E99" s="13">
        <f>IF($A99="","",IFERROR(TEXTJOIN(CHAR(10),TRUE,FILTER('Learning Objectives'!$D$2:$D$500,'Learning Objectives'!$A$2:$A$500="11–13 Years",'Learning Objectives'!$B$2:$B$500=$A99)),""))</f>
        <v/>
      </c>
      <c r="F99" s="11" t="n"/>
      <c r="G99" s="12" t="n"/>
      <c r="H99" s="12" t="n"/>
      <c r="I99" s="11" t="n"/>
      <c r="J99" s="11" t="n"/>
      <c r="K99" s="11" t="n"/>
      <c r="L99" s="12" t="n"/>
      <c r="M99" s="12" t="n"/>
      <c r="N99" s="11" t="n"/>
    </row>
    <row r="100">
      <c r="A100" s="10" t="n"/>
      <c r="B100" s="11" t="n"/>
      <c r="C100" s="12" t="n"/>
      <c r="D100" s="11" t="n"/>
      <c r="E100" s="13">
        <f>IF($A100="","",IFERROR(TEXTJOIN(CHAR(10),TRUE,FILTER('Learning Objectives'!$D$2:$D$500,'Learning Objectives'!$A$2:$A$500="11–13 Years",'Learning Objectives'!$B$2:$B$500=$A100)),""))</f>
        <v/>
      </c>
      <c r="F100" s="11" t="n"/>
      <c r="G100" s="12" t="n"/>
      <c r="H100" s="12" t="n"/>
      <c r="I100" s="11" t="n"/>
      <c r="J100" s="11" t="n"/>
      <c r="K100" s="11" t="n"/>
      <c r="L100" s="12" t="n"/>
      <c r="M100" s="12" t="n"/>
      <c r="N100" s="11" t="n"/>
    </row>
    <row r="101">
      <c r="A101" s="10" t="n"/>
      <c r="B101" s="11" t="n"/>
      <c r="C101" s="12" t="n"/>
      <c r="D101" s="11" t="n"/>
      <c r="E101" s="13">
        <f>IF($A101="","",IFERROR(TEXTJOIN(CHAR(10),TRUE,FILTER('Learning Objectives'!$D$2:$D$500,'Learning Objectives'!$A$2:$A$500="11–13 Years",'Learning Objectives'!$B$2:$B$500=$A101)),""))</f>
        <v/>
      </c>
      <c r="F101" s="11" t="n"/>
      <c r="G101" s="12" t="n"/>
      <c r="H101" s="12" t="n"/>
      <c r="I101" s="11" t="n"/>
      <c r="J101" s="11" t="n"/>
      <c r="K101" s="11" t="n"/>
      <c r="L101" s="12" t="n"/>
      <c r="M101" s="12" t="n"/>
      <c r="N101" s="11" t="n"/>
    </row>
    <row r="102">
      <c r="A102" s="10" t="n"/>
      <c r="B102" s="11" t="n"/>
      <c r="C102" s="12" t="n"/>
      <c r="D102" s="11" t="n"/>
      <c r="E102" s="13">
        <f>IF($A102="","",IFERROR(TEXTJOIN(CHAR(10),TRUE,FILTER('Learning Objectives'!$D$2:$D$500,'Learning Objectives'!$A$2:$A$500="11–13 Years",'Learning Objectives'!$B$2:$B$500=$A102)),""))</f>
        <v/>
      </c>
      <c r="F102" s="11" t="n"/>
      <c r="G102" s="12" t="n"/>
      <c r="H102" s="12" t="n"/>
      <c r="I102" s="11" t="n"/>
      <c r="J102" s="11" t="n"/>
      <c r="K102" s="11" t="n"/>
      <c r="L102" s="12" t="n"/>
      <c r="M102" s="12" t="n"/>
      <c r="N102" s="11" t="n"/>
    </row>
    <row r="103">
      <c r="A103" s="10" t="n"/>
      <c r="B103" s="11" t="n"/>
      <c r="C103" s="12" t="n"/>
      <c r="D103" s="11" t="n"/>
      <c r="E103" s="13">
        <f>IF($A103="","",IFERROR(TEXTJOIN(CHAR(10),TRUE,FILTER('Learning Objectives'!$D$2:$D$500,'Learning Objectives'!$A$2:$A$500="11–13 Years",'Learning Objectives'!$B$2:$B$500=$A103)),""))</f>
        <v/>
      </c>
      <c r="F103" s="11" t="n"/>
      <c r="G103" s="12" t="n"/>
      <c r="H103" s="12" t="n"/>
      <c r="I103" s="11" t="n"/>
      <c r="J103" s="11" t="n"/>
      <c r="K103" s="11" t="n"/>
      <c r="L103" s="12" t="n"/>
      <c r="M103" s="12" t="n"/>
      <c r="N103" s="11" t="n"/>
    </row>
    <row r="104">
      <c r="A104" s="10" t="n"/>
      <c r="B104" s="11" t="n"/>
      <c r="C104" s="12" t="n"/>
      <c r="D104" s="11" t="n"/>
      <c r="E104" s="13">
        <f>IF($A104="","",IFERROR(TEXTJOIN(CHAR(10),TRUE,FILTER('Learning Objectives'!$D$2:$D$500,'Learning Objectives'!$A$2:$A$500="11–13 Years",'Learning Objectives'!$B$2:$B$500=$A104)),""))</f>
        <v/>
      </c>
      <c r="F104" s="11" t="n"/>
      <c r="G104" s="12" t="n"/>
      <c r="H104" s="12" t="n"/>
      <c r="I104" s="11" t="n"/>
      <c r="J104" s="11" t="n"/>
      <c r="K104" s="11" t="n"/>
      <c r="L104" s="12" t="n"/>
      <c r="M104" s="12" t="n"/>
      <c r="N104" s="11" t="n"/>
    </row>
    <row r="105">
      <c r="A105" s="10" t="n"/>
      <c r="B105" s="11" t="n"/>
      <c r="C105" s="12" t="n"/>
      <c r="D105" s="11" t="n"/>
      <c r="E105" s="13">
        <f>IF($A105="","",IFERROR(TEXTJOIN(CHAR(10),TRUE,FILTER('Learning Objectives'!$D$2:$D$500,'Learning Objectives'!$A$2:$A$500="11–13 Years",'Learning Objectives'!$B$2:$B$500=$A105)),""))</f>
        <v/>
      </c>
      <c r="F105" s="11" t="n"/>
      <c r="G105" s="12" t="n"/>
      <c r="H105" s="12" t="n"/>
      <c r="I105" s="11" t="n"/>
      <c r="J105" s="11" t="n"/>
      <c r="K105" s="11" t="n"/>
      <c r="L105" s="12" t="n"/>
      <c r="M105" s="12" t="n"/>
      <c r="N105" s="11" t="n"/>
    </row>
    <row r="106">
      <c r="A106" s="10" t="n"/>
      <c r="B106" s="11" t="n"/>
      <c r="C106" s="12" t="n"/>
      <c r="D106" s="11" t="n"/>
      <c r="E106" s="13">
        <f>IF($A106="","",IFERROR(TEXTJOIN(CHAR(10),TRUE,FILTER('Learning Objectives'!$D$2:$D$500,'Learning Objectives'!$A$2:$A$500="11–13 Years",'Learning Objectives'!$B$2:$B$500=$A106)),""))</f>
        <v/>
      </c>
      <c r="F106" s="11" t="n"/>
      <c r="G106" s="12" t="n"/>
      <c r="H106" s="12" t="n"/>
      <c r="I106" s="11" t="n"/>
      <c r="J106" s="11" t="n"/>
      <c r="K106" s="11" t="n"/>
      <c r="L106" s="12" t="n"/>
      <c r="M106" s="12" t="n"/>
      <c r="N106" s="11" t="n"/>
    </row>
    <row r="107">
      <c r="A107" s="10" t="n"/>
      <c r="B107" s="11" t="n"/>
      <c r="C107" s="12" t="n"/>
      <c r="D107" s="11" t="n"/>
      <c r="E107" s="13">
        <f>IF($A107="","",IFERROR(TEXTJOIN(CHAR(10),TRUE,FILTER('Learning Objectives'!$D$2:$D$500,'Learning Objectives'!$A$2:$A$500="11–13 Years",'Learning Objectives'!$B$2:$B$500=$A107)),""))</f>
        <v/>
      </c>
      <c r="F107" s="11" t="n"/>
      <c r="G107" s="12" t="n"/>
      <c r="H107" s="12" t="n"/>
      <c r="I107" s="11" t="n"/>
      <c r="J107" s="11" t="n"/>
      <c r="K107" s="11" t="n"/>
      <c r="L107" s="12" t="n"/>
      <c r="M107" s="12" t="n"/>
      <c r="N107" s="11" t="n"/>
    </row>
    <row r="108">
      <c r="A108" s="10" t="n"/>
      <c r="B108" s="11" t="n"/>
      <c r="C108" s="12" t="n"/>
      <c r="D108" s="11" t="n"/>
      <c r="E108" s="13">
        <f>IF($A108="","",IFERROR(TEXTJOIN(CHAR(10),TRUE,FILTER('Learning Objectives'!$D$2:$D$500,'Learning Objectives'!$A$2:$A$500="11–13 Years",'Learning Objectives'!$B$2:$B$500=$A108)),""))</f>
        <v/>
      </c>
      <c r="F108" s="11" t="n"/>
      <c r="G108" s="12" t="n"/>
      <c r="H108" s="12" t="n"/>
      <c r="I108" s="11" t="n"/>
      <c r="J108" s="11" t="n"/>
      <c r="K108" s="11" t="n"/>
      <c r="L108" s="12" t="n"/>
      <c r="M108" s="12" t="n"/>
      <c r="N108" s="11" t="n"/>
    </row>
    <row r="109">
      <c r="A109" s="10" t="n"/>
      <c r="B109" s="11" t="n"/>
      <c r="C109" s="12" t="n"/>
      <c r="D109" s="11" t="n"/>
      <c r="E109" s="13">
        <f>IF($A109="","",IFERROR(TEXTJOIN(CHAR(10),TRUE,FILTER('Learning Objectives'!$D$2:$D$500,'Learning Objectives'!$A$2:$A$500="11–13 Years",'Learning Objectives'!$B$2:$B$500=$A109)),""))</f>
        <v/>
      </c>
      <c r="F109" s="11" t="n"/>
      <c r="G109" s="12" t="n"/>
      <c r="H109" s="12" t="n"/>
      <c r="I109" s="11" t="n"/>
      <c r="J109" s="11" t="n"/>
      <c r="K109" s="11" t="n"/>
      <c r="L109" s="12" t="n"/>
      <c r="M109" s="12" t="n"/>
      <c r="N109" s="11" t="n"/>
    </row>
    <row r="110">
      <c r="A110" s="10" t="n"/>
      <c r="B110" s="11" t="n"/>
      <c r="C110" s="12" t="n"/>
      <c r="D110" s="11" t="n"/>
      <c r="E110" s="13">
        <f>IF($A110="","",IFERROR(TEXTJOIN(CHAR(10),TRUE,FILTER('Learning Objectives'!$D$2:$D$500,'Learning Objectives'!$A$2:$A$500="11–13 Years",'Learning Objectives'!$B$2:$B$500=$A110)),""))</f>
        <v/>
      </c>
      <c r="F110" s="11" t="n"/>
      <c r="G110" s="12" t="n"/>
      <c r="H110" s="12" t="n"/>
      <c r="I110" s="11" t="n"/>
      <c r="J110" s="11" t="n"/>
      <c r="K110" s="11" t="n"/>
      <c r="L110" s="12" t="n"/>
      <c r="M110" s="12" t="n"/>
      <c r="N110" s="11" t="n"/>
    </row>
    <row r="111">
      <c r="A111" s="10" t="n"/>
      <c r="B111" s="11" t="n"/>
      <c r="C111" s="12" t="n"/>
      <c r="D111" s="11" t="n"/>
      <c r="E111" s="13">
        <f>IF($A111="","",IFERROR(TEXTJOIN(CHAR(10),TRUE,FILTER('Learning Objectives'!$D$2:$D$500,'Learning Objectives'!$A$2:$A$500="11–13 Years",'Learning Objectives'!$B$2:$B$500=$A111)),""))</f>
        <v/>
      </c>
      <c r="F111" s="11" t="n"/>
      <c r="G111" s="12" t="n"/>
      <c r="H111" s="12" t="n"/>
      <c r="I111" s="11" t="n"/>
      <c r="J111" s="11" t="n"/>
      <c r="K111" s="11" t="n"/>
      <c r="L111" s="12" t="n"/>
      <c r="M111" s="12" t="n"/>
      <c r="N111" s="11" t="n"/>
    </row>
    <row r="112">
      <c r="A112" s="10" t="n"/>
      <c r="B112" s="11" t="n"/>
      <c r="C112" s="12" t="n"/>
      <c r="D112" s="11" t="n"/>
      <c r="E112" s="13">
        <f>IF($A112="","",IFERROR(TEXTJOIN(CHAR(10),TRUE,FILTER('Learning Objectives'!$D$2:$D$500,'Learning Objectives'!$A$2:$A$500="11–13 Years",'Learning Objectives'!$B$2:$B$500=$A112)),""))</f>
        <v/>
      </c>
      <c r="F112" s="11" t="n"/>
      <c r="G112" s="12" t="n"/>
      <c r="H112" s="12" t="n"/>
      <c r="I112" s="11" t="n"/>
      <c r="J112" s="11" t="n"/>
      <c r="K112" s="11" t="n"/>
      <c r="L112" s="12" t="n"/>
      <c r="M112" s="12" t="n"/>
      <c r="N112" s="11" t="n"/>
    </row>
    <row r="113">
      <c r="A113" s="10" t="n"/>
      <c r="B113" s="11" t="n"/>
      <c r="C113" s="12" t="n"/>
      <c r="D113" s="11" t="n"/>
      <c r="E113" s="13">
        <f>IF($A113="","",IFERROR(TEXTJOIN(CHAR(10),TRUE,FILTER('Learning Objectives'!$D$2:$D$500,'Learning Objectives'!$A$2:$A$500="11–13 Years",'Learning Objectives'!$B$2:$B$500=$A113)),""))</f>
        <v/>
      </c>
      <c r="F113" s="11" t="n"/>
      <c r="G113" s="12" t="n"/>
      <c r="H113" s="12" t="n"/>
      <c r="I113" s="11" t="n"/>
      <c r="J113" s="11" t="n"/>
      <c r="K113" s="11" t="n"/>
      <c r="L113" s="12" t="n"/>
      <c r="M113" s="12" t="n"/>
      <c r="N113" s="11" t="n"/>
    </row>
    <row r="114">
      <c r="A114" s="10" t="n"/>
      <c r="B114" s="11" t="n"/>
      <c r="C114" s="12" t="n"/>
      <c r="D114" s="11" t="n"/>
      <c r="E114" s="13">
        <f>IF($A114="","",IFERROR(TEXTJOIN(CHAR(10),TRUE,FILTER('Learning Objectives'!$D$2:$D$500,'Learning Objectives'!$A$2:$A$500="11–13 Years",'Learning Objectives'!$B$2:$B$500=$A114)),""))</f>
        <v/>
      </c>
      <c r="F114" s="11" t="n"/>
      <c r="G114" s="12" t="n"/>
      <c r="H114" s="12" t="n"/>
      <c r="I114" s="11" t="n"/>
      <c r="J114" s="11" t="n"/>
      <c r="K114" s="11" t="n"/>
      <c r="L114" s="12" t="n"/>
      <c r="M114" s="12" t="n"/>
      <c r="N114" s="11" t="n"/>
    </row>
    <row r="115">
      <c r="A115" s="10" t="n"/>
      <c r="B115" s="11" t="n"/>
      <c r="C115" s="12" t="n"/>
      <c r="D115" s="11" t="n"/>
      <c r="E115" s="13">
        <f>IF($A115="","",IFERROR(TEXTJOIN(CHAR(10),TRUE,FILTER('Learning Objectives'!$D$2:$D$500,'Learning Objectives'!$A$2:$A$500="11–13 Years",'Learning Objectives'!$B$2:$B$500=$A115)),""))</f>
        <v/>
      </c>
      <c r="F115" s="11" t="n"/>
      <c r="G115" s="12" t="n"/>
      <c r="H115" s="12" t="n"/>
      <c r="I115" s="11" t="n"/>
      <c r="J115" s="11" t="n"/>
      <c r="K115" s="11" t="n"/>
      <c r="L115" s="12" t="n"/>
      <c r="M115" s="12" t="n"/>
      <c r="N115" s="11" t="n"/>
    </row>
    <row r="116">
      <c r="A116" s="10" t="n"/>
      <c r="B116" s="11" t="n"/>
      <c r="C116" s="12" t="n"/>
      <c r="D116" s="11" t="n"/>
      <c r="E116" s="13">
        <f>IF($A116="","",IFERROR(TEXTJOIN(CHAR(10),TRUE,FILTER('Learning Objectives'!$D$2:$D$500,'Learning Objectives'!$A$2:$A$500="11–13 Years",'Learning Objectives'!$B$2:$B$500=$A116)),""))</f>
        <v/>
      </c>
      <c r="F116" s="11" t="n"/>
      <c r="G116" s="12" t="n"/>
      <c r="H116" s="12" t="n"/>
      <c r="I116" s="11" t="n"/>
      <c r="J116" s="11" t="n"/>
      <c r="K116" s="11" t="n"/>
      <c r="L116" s="12" t="n"/>
      <c r="M116" s="12" t="n"/>
      <c r="N116" s="11" t="n"/>
    </row>
    <row r="117">
      <c r="A117" s="10" t="n"/>
      <c r="B117" s="11" t="n"/>
      <c r="C117" s="12" t="n"/>
      <c r="D117" s="11" t="n"/>
      <c r="E117" s="13">
        <f>IF($A117="","",IFERROR(TEXTJOIN(CHAR(10),TRUE,FILTER('Learning Objectives'!$D$2:$D$500,'Learning Objectives'!$A$2:$A$500="11–13 Years",'Learning Objectives'!$B$2:$B$500=$A117)),""))</f>
        <v/>
      </c>
      <c r="F117" s="11" t="n"/>
      <c r="G117" s="12" t="n"/>
      <c r="H117" s="12" t="n"/>
      <c r="I117" s="11" t="n"/>
      <c r="J117" s="11" t="n"/>
      <c r="K117" s="11" t="n"/>
      <c r="L117" s="12" t="n"/>
      <c r="M117" s="12" t="n"/>
      <c r="N117" s="11" t="n"/>
    </row>
    <row r="118">
      <c r="A118" s="10" t="n"/>
      <c r="B118" s="11" t="n"/>
      <c r="C118" s="12" t="n"/>
      <c r="D118" s="11" t="n"/>
      <c r="E118" s="13">
        <f>IF($A118="","",IFERROR(TEXTJOIN(CHAR(10),TRUE,FILTER('Learning Objectives'!$D$2:$D$500,'Learning Objectives'!$A$2:$A$500="11–13 Years",'Learning Objectives'!$B$2:$B$500=$A118)),""))</f>
        <v/>
      </c>
      <c r="F118" s="11" t="n"/>
      <c r="G118" s="12" t="n"/>
      <c r="H118" s="12" t="n"/>
      <c r="I118" s="11" t="n"/>
      <c r="J118" s="11" t="n"/>
      <c r="K118" s="11" t="n"/>
      <c r="L118" s="12" t="n"/>
      <c r="M118" s="12" t="n"/>
      <c r="N118" s="11" t="n"/>
    </row>
    <row r="119">
      <c r="A119" s="10" t="n"/>
      <c r="B119" s="11" t="n"/>
      <c r="C119" s="12" t="n"/>
      <c r="D119" s="11" t="n"/>
      <c r="E119" s="13">
        <f>IF($A119="","",IFERROR(TEXTJOIN(CHAR(10),TRUE,FILTER('Learning Objectives'!$D$2:$D$500,'Learning Objectives'!$A$2:$A$500="11–13 Years",'Learning Objectives'!$B$2:$B$500=$A119)),""))</f>
        <v/>
      </c>
      <c r="F119" s="11" t="n"/>
      <c r="G119" s="12" t="n"/>
      <c r="H119" s="12" t="n"/>
      <c r="I119" s="11" t="n"/>
      <c r="J119" s="11" t="n"/>
      <c r="K119" s="11" t="n"/>
      <c r="L119" s="12" t="n"/>
      <c r="M119" s="12" t="n"/>
      <c r="N119" s="11" t="n"/>
    </row>
    <row r="120">
      <c r="A120" s="10" t="n"/>
      <c r="B120" s="11" t="n"/>
      <c r="C120" s="12" t="n"/>
      <c r="D120" s="11" t="n"/>
      <c r="E120" s="13">
        <f>IF($A120="","",IFERROR(TEXTJOIN(CHAR(10),TRUE,FILTER('Learning Objectives'!$D$2:$D$500,'Learning Objectives'!$A$2:$A$500="11–13 Years",'Learning Objectives'!$B$2:$B$500=$A120)),""))</f>
        <v/>
      </c>
      <c r="F120" s="11" t="n"/>
      <c r="G120" s="12" t="n"/>
      <c r="H120" s="12" t="n"/>
      <c r="I120" s="11" t="n"/>
      <c r="J120" s="11" t="n"/>
      <c r="K120" s="11" t="n"/>
      <c r="L120" s="12" t="n"/>
      <c r="M120" s="12" t="n"/>
      <c r="N120" s="11" t="n"/>
    </row>
    <row r="121">
      <c r="A121" s="10" t="n"/>
      <c r="B121" s="11" t="n"/>
      <c r="C121" s="12" t="n"/>
      <c r="D121" s="11" t="n"/>
      <c r="E121" s="13">
        <f>IF($A121="","",IFERROR(TEXTJOIN(CHAR(10),TRUE,FILTER('Learning Objectives'!$D$2:$D$500,'Learning Objectives'!$A$2:$A$500="11–13 Years",'Learning Objectives'!$B$2:$B$500=$A121)),""))</f>
        <v/>
      </c>
      <c r="F121" s="11" t="n"/>
      <c r="G121" s="12" t="n"/>
      <c r="H121" s="12" t="n"/>
      <c r="I121" s="11" t="n"/>
      <c r="J121" s="11" t="n"/>
      <c r="K121" s="11" t="n"/>
      <c r="L121" s="12" t="n"/>
      <c r="M121" s="12" t="n"/>
      <c r="N121" s="11" t="n"/>
    </row>
    <row r="122">
      <c r="A122" s="10" t="n"/>
      <c r="B122" s="11" t="n"/>
      <c r="C122" s="12" t="n"/>
      <c r="D122" s="11" t="n"/>
      <c r="E122" s="13">
        <f>IF($A122="","",IFERROR(TEXTJOIN(CHAR(10),TRUE,FILTER('Learning Objectives'!$D$2:$D$500,'Learning Objectives'!$A$2:$A$500="11–13 Years",'Learning Objectives'!$B$2:$B$500=$A122)),""))</f>
        <v/>
      </c>
      <c r="F122" s="11" t="n"/>
      <c r="G122" s="12" t="n"/>
      <c r="H122" s="12" t="n"/>
      <c r="I122" s="11" t="n"/>
      <c r="J122" s="11" t="n"/>
      <c r="K122" s="11" t="n"/>
      <c r="L122" s="12" t="n"/>
      <c r="M122" s="12" t="n"/>
      <c r="N122" s="11" t="n"/>
    </row>
    <row r="123">
      <c r="A123" s="10" t="n"/>
      <c r="B123" s="11" t="n"/>
      <c r="C123" s="12" t="n"/>
      <c r="D123" s="11" t="n"/>
      <c r="E123" s="13">
        <f>IF($A123="","",IFERROR(TEXTJOIN(CHAR(10),TRUE,FILTER('Learning Objectives'!$D$2:$D$500,'Learning Objectives'!$A$2:$A$500="11–13 Years",'Learning Objectives'!$B$2:$B$500=$A123)),""))</f>
        <v/>
      </c>
      <c r="F123" s="11" t="n"/>
      <c r="G123" s="12" t="n"/>
      <c r="H123" s="12" t="n"/>
      <c r="I123" s="11" t="n"/>
      <c r="J123" s="11" t="n"/>
      <c r="K123" s="11" t="n"/>
      <c r="L123" s="12" t="n"/>
      <c r="M123" s="12" t="n"/>
      <c r="N123" s="11" t="n"/>
    </row>
    <row r="124">
      <c r="A124" s="10" t="n"/>
      <c r="B124" s="11" t="n"/>
      <c r="C124" s="12" t="n"/>
      <c r="D124" s="11" t="n"/>
      <c r="E124" s="13">
        <f>IF($A124="","",IFERROR(TEXTJOIN(CHAR(10),TRUE,FILTER('Learning Objectives'!$D$2:$D$500,'Learning Objectives'!$A$2:$A$500="11–13 Years",'Learning Objectives'!$B$2:$B$500=$A124)),""))</f>
        <v/>
      </c>
      <c r="F124" s="11" t="n"/>
      <c r="G124" s="12" t="n"/>
      <c r="H124" s="12" t="n"/>
      <c r="I124" s="11" t="n"/>
      <c r="J124" s="11" t="n"/>
      <c r="K124" s="11" t="n"/>
      <c r="L124" s="12" t="n"/>
      <c r="M124" s="12" t="n"/>
      <c r="N124" s="11" t="n"/>
    </row>
    <row r="125">
      <c r="A125" s="10" t="n"/>
      <c r="B125" s="11" t="n"/>
      <c r="C125" s="12" t="n"/>
      <c r="D125" s="11" t="n"/>
      <c r="E125" s="13">
        <f>IF($A125="","",IFERROR(TEXTJOIN(CHAR(10),TRUE,FILTER('Learning Objectives'!$D$2:$D$500,'Learning Objectives'!$A$2:$A$500="11–13 Years",'Learning Objectives'!$B$2:$B$500=$A125)),""))</f>
        <v/>
      </c>
      <c r="F125" s="11" t="n"/>
      <c r="G125" s="12" t="n"/>
      <c r="H125" s="12" t="n"/>
      <c r="I125" s="11" t="n"/>
      <c r="J125" s="11" t="n"/>
      <c r="K125" s="11" t="n"/>
      <c r="L125" s="12" t="n"/>
      <c r="M125" s="12" t="n"/>
      <c r="N125" s="11" t="n"/>
    </row>
    <row r="126">
      <c r="A126" s="10" t="n"/>
      <c r="B126" s="11" t="n"/>
      <c r="C126" s="12" t="n"/>
      <c r="D126" s="11" t="n"/>
      <c r="E126" s="13">
        <f>IF($A126="","",IFERROR(TEXTJOIN(CHAR(10),TRUE,FILTER('Learning Objectives'!$D$2:$D$500,'Learning Objectives'!$A$2:$A$500="11–13 Years",'Learning Objectives'!$B$2:$B$500=$A126)),""))</f>
        <v/>
      </c>
      <c r="F126" s="11" t="n"/>
      <c r="G126" s="12" t="n"/>
      <c r="H126" s="12" t="n"/>
      <c r="I126" s="11" t="n"/>
      <c r="J126" s="11" t="n"/>
      <c r="K126" s="11" t="n"/>
      <c r="L126" s="12" t="n"/>
      <c r="M126" s="12" t="n"/>
      <c r="N126" s="11" t="n"/>
    </row>
    <row r="127">
      <c r="A127" s="10" t="n"/>
      <c r="B127" s="11" t="n"/>
      <c r="C127" s="12" t="n"/>
      <c r="D127" s="11" t="n"/>
      <c r="E127" s="13">
        <f>IF($A127="","",IFERROR(TEXTJOIN(CHAR(10),TRUE,FILTER('Learning Objectives'!$D$2:$D$500,'Learning Objectives'!$A$2:$A$500="11–13 Years",'Learning Objectives'!$B$2:$B$500=$A127)),""))</f>
        <v/>
      </c>
      <c r="F127" s="11" t="n"/>
      <c r="G127" s="12" t="n"/>
      <c r="H127" s="12" t="n"/>
      <c r="I127" s="11" t="n"/>
      <c r="J127" s="11" t="n"/>
      <c r="K127" s="11" t="n"/>
      <c r="L127" s="12" t="n"/>
      <c r="M127" s="12" t="n"/>
      <c r="N127" s="11" t="n"/>
    </row>
    <row r="128">
      <c r="A128" s="10" t="n"/>
      <c r="B128" s="11" t="n"/>
      <c r="C128" s="12" t="n"/>
      <c r="D128" s="11" t="n"/>
      <c r="E128" s="13">
        <f>IF($A128="","",IFERROR(TEXTJOIN(CHAR(10),TRUE,FILTER('Learning Objectives'!$D$2:$D$500,'Learning Objectives'!$A$2:$A$500="11–13 Years",'Learning Objectives'!$B$2:$B$500=$A128)),""))</f>
        <v/>
      </c>
      <c r="F128" s="11" t="n"/>
      <c r="G128" s="12" t="n"/>
      <c r="H128" s="12" t="n"/>
      <c r="I128" s="11" t="n"/>
      <c r="J128" s="11" t="n"/>
      <c r="K128" s="11" t="n"/>
      <c r="L128" s="12" t="n"/>
      <c r="M128" s="12" t="n"/>
      <c r="N128" s="11" t="n"/>
    </row>
    <row r="129">
      <c r="A129" s="10" t="n"/>
      <c r="B129" s="11" t="n"/>
      <c r="C129" s="12" t="n"/>
      <c r="D129" s="11" t="n"/>
      <c r="E129" s="13">
        <f>IF($A129="","",IFERROR(TEXTJOIN(CHAR(10),TRUE,FILTER('Learning Objectives'!$D$2:$D$500,'Learning Objectives'!$A$2:$A$500="11–13 Years",'Learning Objectives'!$B$2:$B$500=$A129)),""))</f>
        <v/>
      </c>
      <c r="F129" s="11" t="n"/>
      <c r="G129" s="12" t="n"/>
      <c r="H129" s="12" t="n"/>
      <c r="I129" s="11" t="n"/>
      <c r="J129" s="11" t="n"/>
      <c r="K129" s="11" t="n"/>
      <c r="L129" s="12" t="n"/>
      <c r="M129" s="12" t="n"/>
      <c r="N129" s="11" t="n"/>
    </row>
    <row r="130">
      <c r="A130" s="10" t="n"/>
      <c r="B130" s="11" t="n"/>
      <c r="C130" s="12" t="n"/>
      <c r="D130" s="11" t="n"/>
      <c r="E130" s="13">
        <f>IF($A130="","",IFERROR(TEXTJOIN(CHAR(10),TRUE,FILTER('Learning Objectives'!$D$2:$D$500,'Learning Objectives'!$A$2:$A$500="11–13 Years",'Learning Objectives'!$B$2:$B$500=$A130)),""))</f>
        <v/>
      </c>
      <c r="F130" s="11" t="n"/>
      <c r="G130" s="12" t="n"/>
      <c r="H130" s="12" t="n"/>
      <c r="I130" s="11" t="n"/>
      <c r="J130" s="11" t="n"/>
      <c r="K130" s="11" t="n"/>
      <c r="L130" s="12" t="n"/>
      <c r="M130" s="12" t="n"/>
      <c r="N130" s="11" t="n"/>
    </row>
    <row r="131">
      <c r="A131" s="10" t="n"/>
      <c r="B131" s="11" t="n"/>
      <c r="C131" s="12" t="n"/>
      <c r="D131" s="11" t="n"/>
      <c r="E131" s="13">
        <f>IF($A131="","",IFERROR(TEXTJOIN(CHAR(10),TRUE,FILTER('Learning Objectives'!$D$2:$D$500,'Learning Objectives'!$A$2:$A$500="11–13 Years",'Learning Objectives'!$B$2:$B$500=$A131)),""))</f>
        <v/>
      </c>
      <c r="F131" s="11" t="n"/>
      <c r="G131" s="12" t="n"/>
      <c r="H131" s="12" t="n"/>
      <c r="I131" s="11" t="n"/>
      <c r="J131" s="11" t="n"/>
      <c r="K131" s="11" t="n"/>
      <c r="L131" s="12" t="n"/>
      <c r="M131" s="12" t="n"/>
      <c r="N131" s="11" t="n"/>
    </row>
    <row r="132">
      <c r="A132" s="10" t="n"/>
      <c r="B132" s="11" t="n"/>
      <c r="C132" s="12" t="n"/>
      <c r="D132" s="11" t="n"/>
      <c r="E132" s="13">
        <f>IF($A132="","",IFERROR(TEXTJOIN(CHAR(10),TRUE,FILTER('Learning Objectives'!$D$2:$D$500,'Learning Objectives'!$A$2:$A$500="11–13 Years",'Learning Objectives'!$B$2:$B$500=$A132)),""))</f>
        <v/>
      </c>
      <c r="F132" s="11" t="n"/>
      <c r="G132" s="12" t="n"/>
      <c r="H132" s="12" t="n"/>
      <c r="I132" s="11" t="n"/>
      <c r="J132" s="11" t="n"/>
      <c r="K132" s="11" t="n"/>
      <c r="L132" s="12" t="n"/>
      <c r="M132" s="12" t="n"/>
      <c r="N132" s="11" t="n"/>
    </row>
    <row r="133">
      <c r="A133" s="10" t="n"/>
      <c r="B133" s="11" t="n"/>
      <c r="C133" s="12" t="n"/>
      <c r="D133" s="11" t="n"/>
      <c r="E133" s="13">
        <f>IF($A133="","",IFERROR(TEXTJOIN(CHAR(10),TRUE,FILTER('Learning Objectives'!$D$2:$D$500,'Learning Objectives'!$A$2:$A$500="11–13 Years",'Learning Objectives'!$B$2:$B$500=$A133)),""))</f>
        <v/>
      </c>
      <c r="F133" s="11" t="n"/>
      <c r="G133" s="12" t="n"/>
      <c r="H133" s="12" t="n"/>
      <c r="I133" s="11" t="n"/>
      <c r="J133" s="11" t="n"/>
      <c r="K133" s="11" t="n"/>
      <c r="L133" s="12" t="n"/>
      <c r="M133" s="12" t="n"/>
      <c r="N133" s="11" t="n"/>
    </row>
    <row r="134">
      <c r="A134" s="10" t="n"/>
      <c r="B134" s="11" t="n"/>
      <c r="C134" s="12" t="n"/>
      <c r="D134" s="11" t="n"/>
      <c r="E134" s="13">
        <f>IF($A134="","",IFERROR(TEXTJOIN(CHAR(10),TRUE,FILTER('Learning Objectives'!$D$2:$D$500,'Learning Objectives'!$A$2:$A$500="11–13 Years",'Learning Objectives'!$B$2:$B$500=$A134)),""))</f>
        <v/>
      </c>
      <c r="F134" s="11" t="n"/>
      <c r="G134" s="12" t="n"/>
      <c r="H134" s="12" t="n"/>
      <c r="I134" s="11" t="n"/>
      <c r="J134" s="11" t="n"/>
      <c r="K134" s="11" t="n"/>
      <c r="L134" s="12" t="n"/>
      <c r="M134" s="12" t="n"/>
      <c r="N134" s="11" t="n"/>
    </row>
    <row r="135">
      <c r="A135" s="10" t="n"/>
      <c r="B135" s="11" t="n"/>
      <c r="C135" s="12" t="n"/>
      <c r="D135" s="11" t="n"/>
      <c r="E135" s="13">
        <f>IF($A135="","",IFERROR(TEXTJOIN(CHAR(10),TRUE,FILTER('Learning Objectives'!$D$2:$D$500,'Learning Objectives'!$A$2:$A$500="11–13 Years",'Learning Objectives'!$B$2:$B$500=$A135)),""))</f>
        <v/>
      </c>
      <c r="F135" s="11" t="n"/>
      <c r="G135" s="12" t="n"/>
      <c r="H135" s="12" t="n"/>
      <c r="I135" s="11" t="n"/>
      <c r="J135" s="11" t="n"/>
      <c r="K135" s="11" t="n"/>
      <c r="L135" s="12" t="n"/>
      <c r="M135" s="12" t="n"/>
      <c r="N135" s="11" t="n"/>
    </row>
    <row r="136">
      <c r="A136" s="10" t="n"/>
      <c r="B136" s="11" t="n"/>
      <c r="C136" s="12" t="n"/>
      <c r="D136" s="11" t="n"/>
      <c r="E136" s="13">
        <f>IF($A136="","",IFERROR(TEXTJOIN(CHAR(10),TRUE,FILTER('Learning Objectives'!$D$2:$D$500,'Learning Objectives'!$A$2:$A$500="11–13 Years",'Learning Objectives'!$B$2:$B$500=$A136)),""))</f>
        <v/>
      </c>
      <c r="F136" s="11" t="n"/>
      <c r="G136" s="12" t="n"/>
      <c r="H136" s="12" t="n"/>
      <c r="I136" s="11" t="n"/>
      <c r="J136" s="11" t="n"/>
      <c r="K136" s="11" t="n"/>
      <c r="L136" s="12" t="n"/>
      <c r="M136" s="12" t="n"/>
      <c r="N136" s="11" t="n"/>
    </row>
    <row r="137">
      <c r="A137" s="10" t="n"/>
      <c r="B137" s="11" t="n"/>
      <c r="C137" s="12" t="n"/>
      <c r="D137" s="11" t="n"/>
      <c r="E137" s="13">
        <f>IF($A137="","",IFERROR(TEXTJOIN(CHAR(10),TRUE,FILTER('Learning Objectives'!$D$2:$D$500,'Learning Objectives'!$A$2:$A$500="11–13 Years",'Learning Objectives'!$B$2:$B$500=$A137)),""))</f>
        <v/>
      </c>
      <c r="F137" s="11" t="n"/>
      <c r="G137" s="12" t="n"/>
      <c r="H137" s="12" t="n"/>
      <c r="I137" s="11" t="n"/>
      <c r="J137" s="11" t="n"/>
      <c r="K137" s="11" t="n"/>
      <c r="L137" s="12" t="n"/>
      <c r="M137" s="12" t="n"/>
      <c r="N137" s="11" t="n"/>
    </row>
    <row r="138">
      <c r="A138" s="10" t="n"/>
      <c r="B138" s="11" t="n"/>
      <c r="C138" s="12" t="n"/>
      <c r="D138" s="11" t="n"/>
      <c r="E138" s="13">
        <f>IF($A138="","",IFERROR(TEXTJOIN(CHAR(10),TRUE,FILTER('Learning Objectives'!$D$2:$D$500,'Learning Objectives'!$A$2:$A$500="11–13 Years",'Learning Objectives'!$B$2:$B$500=$A138)),""))</f>
        <v/>
      </c>
      <c r="F138" s="11" t="n"/>
      <c r="G138" s="12" t="n"/>
      <c r="H138" s="12" t="n"/>
      <c r="I138" s="11" t="n"/>
      <c r="J138" s="11" t="n"/>
      <c r="K138" s="11" t="n"/>
      <c r="L138" s="12" t="n"/>
      <c r="M138" s="12" t="n"/>
      <c r="N138" s="11" t="n"/>
    </row>
    <row r="139">
      <c r="A139" s="10" t="n"/>
      <c r="B139" s="11" t="n"/>
      <c r="C139" s="12" t="n"/>
      <c r="D139" s="11" t="n"/>
      <c r="E139" s="13">
        <f>IF($A139="","",IFERROR(TEXTJOIN(CHAR(10),TRUE,FILTER('Learning Objectives'!$D$2:$D$500,'Learning Objectives'!$A$2:$A$500="11–13 Years",'Learning Objectives'!$B$2:$B$500=$A139)),""))</f>
        <v/>
      </c>
      <c r="F139" s="11" t="n"/>
      <c r="G139" s="12" t="n"/>
      <c r="H139" s="12" t="n"/>
      <c r="I139" s="11" t="n"/>
      <c r="J139" s="11" t="n"/>
      <c r="K139" s="11" t="n"/>
      <c r="L139" s="12" t="n"/>
      <c r="M139" s="12" t="n"/>
      <c r="N139" s="11" t="n"/>
    </row>
    <row r="140">
      <c r="A140" s="10" t="n"/>
      <c r="B140" s="11" t="n"/>
      <c r="C140" s="12" t="n"/>
      <c r="D140" s="11" t="n"/>
      <c r="E140" s="13">
        <f>IF($A140="","",IFERROR(TEXTJOIN(CHAR(10),TRUE,FILTER('Learning Objectives'!$D$2:$D$500,'Learning Objectives'!$A$2:$A$500="11–13 Years",'Learning Objectives'!$B$2:$B$500=$A140)),""))</f>
        <v/>
      </c>
      <c r="F140" s="11" t="n"/>
      <c r="G140" s="12" t="n"/>
      <c r="H140" s="12" t="n"/>
      <c r="I140" s="11" t="n"/>
      <c r="J140" s="11" t="n"/>
      <c r="K140" s="11" t="n"/>
      <c r="L140" s="12" t="n"/>
      <c r="M140" s="12" t="n"/>
      <c r="N140" s="11" t="n"/>
    </row>
    <row r="141">
      <c r="A141" s="10" t="n"/>
      <c r="B141" s="11" t="n"/>
      <c r="C141" s="12" t="n"/>
      <c r="D141" s="11" t="n"/>
      <c r="E141" s="13">
        <f>IF($A141="","",IFERROR(TEXTJOIN(CHAR(10),TRUE,FILTER('Learning Objectives'!$D$2:$D$500,'Learning Objectives'!$A$2:$A$500="11–13 Years",'Learning Objectives'!$B$2:$B$500=$A141)),""))</f>
        <v/>
      </c>
      <c r="F141" s="11" t="n"/>
      <c r="G141" s="12" t="n"/>
      <c r="H141" s="12" t="n"/>
      <c r="I141" s="11" t="n"/>
      <c r="J141" s="11" t="n"/>
      <c r="K141" s="11" t="n"/>
      <c r="L141" s="12" t="n"/>
      <c r="M141" s="12" t="n"/>
      <c r="N141" s="11" t="n"/>
    </row>
    <row r="142">
      <c r="A142" s="10" t="n"/>
      <c r="B142" s="11" t="n"/>
      <c r="C142" s="12" t="n"/>
      <c r="D142" s="11" t="n"/>
      <c r="E142" s="13">
        <f>IF($A142="","",IFERROR(TEXTJOIN(CHAR(10),TRUE,FILTER('Learning Objectives'!$D$2:$D$500,'Learning Objectives'!$A$2:$A$500="11–13 Years",'Learning Objectives'!$B$2:$B$500=$A142)),""))</f>
        <v/>
      </c>
      <c r="F142" s="11" t="n"/>
      <c r="G142" s="12" t="n"/>
      <c r="H142" s="12" t="n"/>
      <c r="I142" s="11" t="n"/>
      <c r="J142" s="11" t="n"/>
      <c r="K142" s="11" t="n"/>
      <c r="L142" s="12" t="n"/>
      <c r="M142" s="12" t="n"/>
      <c r="N142" s="11" t="n"/>
    </row>
    <row r="143">
      <c r="A143" s="10" t="n"/>
      <c r="B143" s="11" t="n"/>
      <c r="C143" s="12" t="n"/>
      <c r="D143" s="11" t="n"/>
      <c r="E143" s="13">
        <f>IF($A143="","",IFERROR(TEXTJOIN(CHAR(10),TRUE,FILTER('Learning Objectives'!$D$2:$D$500,'Learning Objectives'!$A$2:$A$500="11–13 Years",'Learning Objectives'!$B$2:$B$500=$A143)),""))</f>
        <v/>
      </c>
      <c r="F143" s="11" t="n"/>
      <c r="G143" s="12" t="n"/>
      <c r="H143" s="12" t="n"/>
      <c r="I143" s="11" t="n"/>
      <c r="J143" s="11" t="n"/>
      <c r="K143" s="11" t="n"/>
      <c r="L143" s="12" t="n"/>
      <c r="M143" s="12" t="n"/>
      <c r="N143" s="11" t="n"/>
    </row>
    <row r="144">
      <c r="A144" s="10" t="n"/>
      <c r="B144" s="11" t="n"/>
      <c r="C144" s="12" t="n"/>
      <c r="D144" s="11" t="n"/>
      <c r="E144" s="13">
        <f>IF($A144="","",IFERROR(TEXTJOIN(CHAR(10),TRUE,FILTER('Learning Objectives'!$D$2:$D$500,'Learning Objectives'!$A$2:$A$500="11–13 Years",'Learning Objectives'!$B$2:$B$500=$A144)),""))</f>
        <v/>
      </c>
      <c r="F144" s="11" t="n"/>
      <c r="G144" s="12" t="n"/>
      <c r="H144" s="12" t="n"/>
      <c r="I144" s="11" t="n"/>
      <c r="J144" s="11" t="n"/>
      <c r="K144" s="11" t="n"/>
      <c r="L144" s="12" t="n"/>
      <c r="M144" s="12" t="n"/>
      <c r="N144" s="11" t="n"/>
    </row>
    <row r="145">
      <c r="A145" s="10" t="n"/>
      <c r="B145" s="11" t="n"/>
      <c r="C145" s="12" t="n"/>
      <c r="D145" s="11" t="n"/>
      <c r="E145" s="13">
        <f>IF($A145="","",IFERROR(TEXTJOIN(CHAR(10),TRUE,FILTER('Learning Objectives'!$D$2:$D$500,'Learning Objectives'!$A$2:$A$500="11–13 Years",'Learning Objectives'!$B$2:$B$500=$A145)),""))</f>
        <v/>
      </c>
      <c r="F145" s="11" t="n"/>
      <c r="G145" s="12" t="n"/>
      <c r="H145" s="12" t="n"/>
      <c r="I145" s="11" t="n"/>
      <c r="J145" s="11" t="n"/>
      <c r="K145" s="11" t="n"/>
      <c r="L145" s="12" t="n"/>
      <c r="M145" s="12" t="n"/>
      <c r="N145" s="11" t="n"/>
    </row>
    <row r="146">
      <c r="A146" s="10" t="n"/>
      <c r="B146" s="11" t="n"/>
      <c r="C146" s="12" t="n"/>
      <c r="D146" s="11" t="n"/>
      <c r="E146" s="13">
        <f>IF($A146="","",IFERROR(TEXTJOIN(CHAR(10),TRUE,FILTER('Learning Objectives'!$D$2:$D$500,'Learning Objectives'!$A$2:$A$500="11–13 Years",'Learning Objectives'!$B$2:$B$500=$A146)),""))</f>
        <v/>
      </c>
      <c r="F146" s="11" t="n"/>
      <c r="G146" s="12" t="n"/>
      <c r="H146" s="12" t="n"/>
      <c r="I146" s="11" t="n"/>
      <c r="J146" s="11" t="n"/>
      <c r="K146" s="11" t="n"/>
      <c r="L146" s="12" t="n"/>
      <c r="M146" s="12" t="n"/>
      <c r="N146" s="11" t="n"/>
    </row>
    <row r="147">
      <c r="A147" s="10" t="n"/>
      <c r="B147" s="11" t="n"/>
      <c r="C147" s="12" t="n"/>
      <c r="D147" s="11" t="n"/>
      <c r="E147" s="13">
        <f>IF($A147="","",IFERROR(TEXTJOIN(CHAR(10),TRUE,FILTER('Learning Objectives'!$D$2:$D$500,'Learning Objectives'!$A$2:$A$500="11–13 Years",'Learning Objectives'!$B$2:$B$500=$A147)),""))</f>
        <v/>
      </c>
      <c r="F147" s="11" t="n"/>
      <c r="G147" s="12" t="n"/>
      <c r="H147" s="12" t="n"/>
      <c r="I147" s="11" t="n"/>
      <c r="J147" s="11" t="n"/>
      <c r="K147" s="11" t="n"/>
      <c r="L147" s="12" t="n"/>
      <c r="M147" s="12" t="n"/>
      <c r="N147" s="11" t="n"/>
    </row>
    <row r="148">
      <c r="A148" s="10" t="n"/>
      <c r="B148" s="11" t="n"/>
      <c r="C148" s="12" t="n"/>
      <c r="D148" s="11" t="n"/>
      <c r="E148" s="13">
        <f>IF($A148="","",IFERROR(TEXTJOIN(CHAR(10),TRUE,FILTER('Learning Objectives'!$D$2:$D$500,'Learning Objectives'!$A$2:$A$500="11–13 Years",'Learning Objectives'!$B$2:$B$500=$A148)),""))</f>
        <v/>
      </c>
      <c r="F148" s="11" t="n"/>
      <c r="G148" s="12" t="n"/>
      <c r="H148" s="12" t="n"/>
      <c r="I148" s="11" t="n"/>
      <c r="J148" s="11" t="n"/>
      <c r="K148" s="11" t="n"/>
      <c r="L148" s="12" t="n"/>
      <c r="M148" s="12" t="n"/>
      <c r="N148" s="11" t="n"/>
    </row>
    <row r="149">
      <c r="A149" s="10" t="n"/>
      <c r="B149" s="11" t="n"/>
      <c r="C149" s="12" t="n"/>
      <c r="D149" s="11" t="n"/>
      <c r="E149" s="13">
        <f>IF($A149="","",IFERROR(TEXTJOIN(CHAR(10),TRUE,FILTER('Learning Objectives'!$D$2:$D$500,'Learning Objectives'!$A$2:$A$500="11–13 Years",'Learning Objectives'!$B$2:$B$500=$A149)),""))</f>
        <v/>
      </c>
      <c r="F149" s="11" t="n"/>
      <c r="G149" s="12" t="n"/>
      <c r="H149" s="12" t="n"/>
      <c r="I149" s="11" t="n"/>
      <c r="J149" s="11" t="n"/>
      <c r="K149" s="11" t="n"/>
      <c r="L149" s="12" t="n"/>
      <c r="M149" s="12" t="n"/>
      <c r="N149" s="11" t="n"/>
    </row>
    <row r="150">
      <c r="A150" s="10" t="n"/>
      <c r="B150" s="11" t="n"/>
      <c r="C150" s="12" t="n"/>
      <c r="D150" s="11" t="n"/>
      <c r="E150" s="13">
        <f>IF($A150="","",IFERROR(TEXTJOIN(CHAR(10),TRUE,FILTER('Learning Objectives'!$D$2:$D$500,'Learning Objectives'!$A$2:$A$500="11–13 Years",'Learning Objectives'!$B$2:$B$500=$A150)),""))</f>
        <v/>
      </c>
      <c r="F150" s="11" t="n"/>
      <c r="G150" s="12" t="n"/>
      <c r="H150" s="12" t="n"/>
      <c r="I150" s="11" t="n"/>
      <c r="J150" s="11" t="n"/>
      <c r="K150" s="11" t="n"/>
      <c r="L150" s="12" t="n"/>
      <c r="M150" s="12" t="n"/>
      <c r="N150" s="11" t="n"/>
    </row>
    <row r="151">
      <c r="A151" s="10" t="n"/>
      <c r="B151" s="11" t="n"/>
      <c r="C151" s="12" t="n"/>
      <c r="D151" s="11" t="n"/>
      <c r="E151" s="13">
        <f>IF($A151="","",IFERROR(TEXTJOIN(CHAR(10),TRUE,FILTER('Learning Objectives'!$D$2:$D$500,'Learning Objectives'!$A$2:$A$500="11–13 Years",'Learning Objectives'!$B$2:$B$500=$A151)),""))</f>
        <v/>
      </c>
      <c r="F151" s="11" t="n"/>
      <c r="G151" s="12" t="n"/>
      <c r="H151" s="12" t="n"/>
      <c r="I151" s="11" t="n"/>
      <c r="J151" s="11" t="n"/>
      <c r="K151" s="11" t="n"/>
      <c r="L151" s="12" t="n"/>
      <c r="M151" s="12" t="n"/>
      <c r="N151" s="11" t="n"/>
    </row>
    <row r="152">
      <c r="A152" s="10" t="n"/>
      <c r="B152" s="11" t="n"/>
      <c r="C152" s="12" t="n"/>
      <c r="D152" s="11" t="n"/>
      <c r="E152" s="13">
        <f>IF($A152="","",IFERROR(TEXTJOIN(CHAR(10),TRUE,FILTER('Learning Objectives'!$D$2:$D$500,'Learning Objectives'!$A$2:$A$500="11–13 Years",'Learning Objectives'!$B$2:$B$500=$A152)),""))</f>
        <v/>
      </c>
      <c r="F152" s="11" t="n"/>
      <c r="G152" s="12" t="n"/>
      <c r="H152" s="12" t="n"/>
      <c r="I152" s="11" t="n"/>
      <c r="J152" s="11" t="n"/>
      <c r="K152" s="11" t="n"/>
      <c r="L152" s="12" t="n"/>
      <c r="M152" s="12" t="n"/>
      <c r="N152" s="11" t="n"/>
    </row>
    <row r="153">
      <c r="A153" s="10" t="n"/>
      <c r="B153" s="11" t="n"/>
      <c r="C153" s="12" t="n"/>
      <c r="D153" s="11" t="n"/>
      <c r="E153" s="13">
        <f>IF($A153="","",IFERROR(TEXTJOIN(CHAR(10),TRUE,FILTER('Learning Objectives'!$D$2:$D$500,'Learning Objectives'!$A$2:$A$500="11–13 Years",'Learning Objectives'!$B$2:$B$500=$A153)),""))</f>
        <v/>
      </c>
      <c r="F153" s="11" t="n"/>
      <c r="G153" s="12" t="n"/>
      <c r="H153" s="12" t="n"/>
      <c r="I153" s="11" t="n"/>
      <c r="J153" s="11" t="n"/>
      <c r="K153" s="11" t="n"/>
      <c r="L153" s="12" t="n"/>
      <c r="M153" s="12" t="n"/>
      <c r="N153" s="11" t="n"/>
    </row>
    <row r="154">
      <c r="A154" s="10" t="n"/>
      <c r="B154" s="11" t="n"/>
      <c r="C154" s="12" t="n"/>
      <c r="D154" s="11" t="n"/>
      <c r="E154" s="13">
        <f>IF($A154="","",IFERROR(TEXTJOIN(CHAR(10),TRUE,FILTER('Learning Objectives'!$D$2:$D$500,'Learning Objectives'!$A$2:$A$500="11–13 Years",'Learning Objectives'!$B$2:$B$500=$A154)),""))</f>
        <v/>
      </c>
      <c r="F154" s="11" t="n"/>
      <c r="G154" s="12" t="n"/>
      <c r="H154" s="12" t="n"/>
      <c r="I154" s="11" t="n"/>
      <c r="J154" s="11" t="n"/>
      <c r="K154" s="11" t="n"/>
      <c r="L154" s="12" t="n"/>
      <c r="M154" s="12" t="n"/>
      <c r="N154" s="11" t="n"/>
    </row>
    <row r="155">
      <c r="A155" s="10" t="n"/>
      <c r="B155" s="11" t="n"/>
      <c r="C155" s="12" t="n"/>
      <c r="D155" s="11" t="n"/>
      <c r="E155" s="13">
        <f>IF($A155="","",IFERROR(TEXTJOIN(CHAR(10),TRUE,FILTER('Learning Objectives'!$D$2:$D$500,'Learning Objectives'!$A$2:$A$500="11–13 Years",'Learning Objectives'!$B$2:$B$500=$A155)),""))</f>
        <v/>
      </c>
      <c r="F155" s="11" t="n"/>
      <c r="G155" s="12" t="n"/>
      <c r="H155" s="12" t="n"/>
      <c r="I155" s="11" t="n"/>
      <c r="J155" s="11" t="n"/>
      <c r="K155" s="11" t="n"/>
      <c r="L155" s="12" t="n"/>
      <c r="M155" s="12" t="n"/>
      <c r="N155" s="11" t="n"/>
    </row>
    <row r="156">
      <c r="A156" s="10" t="n"/>
      <c r="B156" s="11" t="n"/>
      <c r="C156" s="12" t="n"/>
      <c r="D156" s="11" t="n"/>
      <c r="E156" s="13">
        <f>IF($A156="","",IFERROR(TEXTJOIN(CHAR(10),TRUE,FILTER('Learning Objectives'!$D$2:$D$500,'Learning Objectives'!$A$2:$A$500="11–13 Years",'Learning Objectives'!$B$2:$B$500=$A156)),""))</f>
        <v/>
      </c>
      <c r="F156" s="11" t="n"/>
      <c r="G156" s="12" t="n"/>
      <c r="H156" s="12" t="n"/>
      <c r="I156" s="11" t="n"/>
      <c r="J156" s="11" t="n"/>
      <c r="K156" s="11" t="n"/>
      <c r="L156" s="12" t="n"/>
      <c r="M156" s="12" t="n"/>
      <c r="N156" s="11" t="n"/>
    </row>
    <row r="157">
      <c r="A157" s="10" t="n"/>
      <c r="B157" s="11" t="n"/>
      <c r="C157" s="12" t="n"/>
      <c r="D157" s="11" t="n"/>
      <c r="E157" s="13">
        <f>IF($A157="","",IFERROR(TEXTJOIN(CHAR(10),TRUE,FILTER('Learning Objectives'!$D$2:$D$500,'Learning Objectives'!$A$2:$A$500="11–13 Years",'Learning Objectives'!$B$2:$B$500=$A157)),""))</f>
        <v/>
      </c>
      <c r="F157" s="11" t="n"/>
      <c r="G157" s="12" t="n"/>
      <c r="H157" s="12" t="n"/>
      <c r="I157" s="11" t="n"/>
      <c r="J157" s="11" t="n"/>
      <c r="K157" s="11" t="n"/>
      <c r="L157" s="12" t="n"/>
      <c r="M157" s="12" t="n"/>
      <c r="N157" s="11" t="n"/>
    </row>
    <row r="158">
      <c r="A158" s="10" t="n"/>
      <c r="B158" s="11" t="n"/>
      <c r="C158" s="12" t="n"/>
      <c r="D158" s="11" t="n"/>
      <c r="E158" s="13">
        <f>IF($A158="","",IFERROR(TEXTJOIN(CHAR(10),TRUE,FILTER('Learning Objectives'!$D$2:$D$500,'Learning Objectives'!$A$2:$A$500="11–13 Years",'Learning Objectives'!$B$2:$B$500=$A158)),""))</f>
        <v/>
      </c>
      <c r="F158" s="11" t="n"/>
      <c r="G158" s="12" t="n"/>
      <c r="H158" s="12" t="n"/>
      <c r="I158" s="11" t="n"/>
      <c r="J158" s="11" t="n"/>
      <c r="K158" s="11" t="n"/>
      <c r="L158" s="12" t="n"/>
      <c r="M158" s="12" t="n"/>
      <c r="N158" s="11" t="n"/>
    </row>
    <row r="159">
      <c r="A159" s="10" t="n"/>
      <c r="B159" s="11" t="n"/>
      <c r="C159" s="12" t="n"/>
      <c r="D159" s="11" t="n"/>
      <c r="E159" s="13">
        <f>IF($A159="","",IFERROR(TEXTJOIN(CHAR(10),TRUE,FILTER('Learning Objectives'!$D$2:$D$500,'Learning Objectives'!$A$2:$A$500="11–13 Years",'Learning Objectives'!$B$2:$B$500=$A159)),""))</f>
        <v/>
      </c>
      <c r="F159" s="11" t="n"/>
      <c r="G159" s="12" t="n"/>
      <c r="H159" s="12" t="n"/>
      <c r="I159" s="11" t="n"/>
      <c r="J159" s="11" t="n"/>
      <c r="K159" s="11" t="n"/>
      <c r="L159" s="12" t="n"/>
      <c r="M159" s="12" t="n"/>
      <c r="N159" s="11" t="n"/>
    </row>
    <row r="160">
      <c r="A160" s="10" t="n"/>
      <c r="B160" s="11" t="n"/>
      <c r="C160" s="12" t="n"/>
      <c r="D160" s="11" t="n"/>
      <c r="E160" s="13">
        <f>IF($A160="","",IFERROR(TEXTJOIN(CHAR(10),TRUE,FILTER('Learning Objectives'!$D$2:$D$500,'Learning Objectives'!$A$2:$A$500="11–13 Years",'Learning Objectives'!$B$2:$B$500=$A160)),""))</f>
        <v/>
      </c>
      <c r="F160" s="11" t="n"/>
      <c r="G160" s="12" t="n"/>
      <c r="H160" s="12" t="n"/>
      <c r="I160" s="11" t="n"/>
      <c r="J160" s="11" t="n"/>
      <c r="K160" s="11" t="n"/>
      <c r="L160" s="12" t="n"/>
      <c r="M160" s="12" t="n"/>
      <c r="N160" s="11" t="n"/>
    </row>
    <row r="161">
      <c r="A161" s="10" t="n"/>
      <c r="B161" s="11" t="n"/>
      <c r="C161" s="12" t="n"/>
      <c r="D161" s="11" t="n"/>
      <c r="E161" s="13">
        <f>IF($A161="","",IFERROR(TEXTJOIN(CHAR(10),TRUE,FILTER('Learning Objectives'!$D$2:$D$500,'Learning Objectives'!$A$2:$A$500="11–13 Years",'Learning Objectives'!$B$2:$B$500=$A161)),""))</f>
        <v/>
      </c>
      <c r="F161" s="11" t="n"/>
      <c r="G161" s="12" t="n"/>
      <c r="H161" s="12" t="n"/>
      <c r="I161" s="11" t="n"/>
      <c r="J161" s="11" t="n"/>
      <c r="K161" s="11" t="n"/>
      <c r="L161" s="12" t="n"/>
      <c r="M161" s="12" t="n"/>
      <c r="N161" s="11" t="n"/>
    </row>
    <row r="162">
      <c r="A162" s="10" t="n"/>
      <c r="B162" s="11" t="n"/>
      <c r="C162" s="12" t="n"/>
      <c r="D162" s="11" t="n"/>
      <c r="E162" s="13">
        <f>IF($A162="","",IFERROR(TEXTJOIN(CHAR(10),TRUE,FILTER('Learning Objectives'!$D$2:$D$500,'Learning Objectives'!$A$2:$A$500="11–13 Years",'Learning Objectives'!$B$2:$B$500=$A162)),""))</f>
        <v/>
      </c>
      <c r="F162" s="11" t="n"/>
      <c r="G162" s="12" t="n"/>
      <c r="H162" s="12" t="n"/>
      <c r="I162" s="11" t="n"/>
      <c r="J162" s="11" t="n"/>
      <c r="K162" s="11" t="n"/>
      <c r="L162" s="12" t="n"/>
      <c r="M162" s="12" t="n"/>
      <c r="N162" s="11" t="n"/>
    </row>
    <row r="163">
      <c r="A163" s="10" t="n"/>
      <c r="B163" s="11" t="n"/>
      <c r="C163" s="12" t="n"/>
      <c r="D163" s="11" t="n"/>
      <c r="E163" s="13">
        <f>IF($A163="","",IFERROR(TEXTJOIN(CHAR(10),TRUE,FILTER('Learning Objectives'!$D$2:$D$500,'Learning Objectives'!$A$2:$A$500="11–13 Years",'Learning Objectives'!$B$2:$B$500=$A163)),""))</f>
        <v/>
      </c>
      <c r="F163" s="11" t="n"/>
      <c r="G163" s="12" t="n"/>
      <c r="H163" s="12" t="n"/>
      <c r="I163" s="11" t="n"/>
      <c r="J163" s="11" t="n"/>
      <c r="K163" s="11" t="n"/>
      <c r="L163" s="12" t="n"/>
      <c r="M163" s="12" t="n"/>
      <c r="N163" s="11" t="n"/>
    </row>
    <row r="164">
      <c r="A164" s="10" t="n"/>
      <c r="B164" s="11" t="n"/>
      <c r="C164" s="12" t="n"/>
      <c r="D164" s="11" t="n"/>
      <c r="E164" s="13">
        <f>IF($A164="","",IFERROR(TEXTJOIN(CHAR(10),TRUE,FILTER('Learning Objectives'!$D$2:$D$500,'Learning Objectives'!$A$2:$A$500="11–13 Years",'Learning Objectives'!$B$2:$B$500=$A164)),""))</f>
        <v/>
      </c>
      <c r="F164" s="11" t="n"/>
      <c r="G164" s="12" t="n"/>
      <c r="H164" s="12" t="n"/>
      <c r="I164" s="11" t="n"/>
      <c r="J164" s="11" t="n"/>
      <c r="K164" s="11" t="n"/>
      <c r="L164" s="12" t="n"/>
      <c r="M164" s="12" t="n"/>
      <c r="N164" s="11" t="n"/>
    </row>
    <row r="165">
      <c r="A165" s="10" t="n"/>
      <c r="B165" s="11" t="n"/>
      <c r="C165" s="12" t="n"/>
      <c r="D165" s="11" t="n"/>
      <c r="E165" s="13">
        <f>IF($A165="","",IFERROR(TEXTJOIN(CHAR(10),TRUE,FILTER('Learning Objectives'!$D$2:$D$500,'Learning Objectives'!$A$2:$A$500="11–13 Years",'Learning Objectives'!$B$2:$B$500=$A165)),""))</f>
        <v/>
      </c>
      <c r="F165" s="11" t="n"/>
      <c r="G165" s="12" t="n"/>
      <c r="H165" s="12" t="n"/>
      <c r="I165" s="11" t="n"/>
      <c r="J165" s="11" t="n"/>
      <c r="K165" s="11" t="n"/>
      <c r="L165" s="12" t="n"/>
      <c r="M165" s="12" t="n"/>
      <c r="N165" s="11" t="n"/>
    </row>
    <row r="166">
      <c r="A166" s="10" t="n"/>
      <c r="B166" s="11" t="n"/>
      <c r="C166" s="12" t="n"/>
      <c r="D166" s="11" t="n"/>
      <c r="E166" s="13">
        <f>IF($A166="","",IFERROR(TEXTJOIN(CHAR(10),TRUE,FILTER('Learning Objectives'!$D$2:$D$500,'Learning Objectives'!$A$2:$A$500="11–13 Years",'Learning Objectives'!$B$2:$B$500=$A166)),""))</f>
        <v/>
      </c>
      <c r="F166" s="11" t="n"/>
      <c r="G166" s="12" t="n"/>
      <c r="H166" s="12" t="n"/>
      <c r="I166" s="11" t="n"/>
      <c r="J166" s="11" t="n"/>
      <c r="K166" s="11" t="n"/>
      <c r="L166" s="12" t="n"/>
      <c r="M166" s="12" t="n"/>
      <c r="N166" s="11" t="n"/>
    </row>
    <row r="167">
      <c r="A167" s="10" t="n"/>
      <c r="B167" s="11" t="n"/>
      <c r="C167" s="12" t="n"/>
      <c r="D167" s="11" t="n"/>
      <c r="E167" s="13">
        <f>IF($A167="","",IFERROR(TEXTJOIN(CHAR(10),TRUE,FILTER('Learning Objectives'!$D$2:$D$500,'Learning Objectives'!$A$2:$A$500="11–13 Years",'Learning Objectives'!$B$2:$B$500=$A167)),""))</f>
        <v/>
      </c>
      <c r="F167" s="11" t="n"/>
      <c r="G167" s="12" t="n"/>
      <c r="H167" s="12" t="n"/>
      <c r="I167" s="11" t="n"/>
      <c r="J167" s="11" t="n"/>
      <c r="K167" s="11" t="n"/>
      <c r="L167" s="12" t="n"/>
      <c r="M167" s="12" t="n"/>
      <c r="N167" s="11" t="n"/>
    </row>
    <row r="168">
      <c r="A168" s="10" t="n"/>
      <c r="B168" s="11" t="n"/>
      <c r="C168" s="12" t="n"/>
      <c r="D168" s="11" t="n"/>
      <c r="E168" s="13">
        <f>IF($A168="","",IFERROR(TEXTJOIN(CHAR(10),TRUE,FILTER('Learning Objectives'!$D$2:$D$500,'Learning Objectives'!$A$2:$A$500="11–13 Years",'Learning Objectives'!$B$2:$B$500=$A168)),""))</f>
        <v/>
      </c>
      <c r="F168" s="11" t="n"/>
      <c r="G168" s="12" t="n"/>
      <c r="H168" s="12" t="n"/>
      <c r="I168" s="11" t="n"/>
      <c r="J168" s="11" t="n"/>
      <c r="K168" s="11" t="n"/>
      <c r="L168" s="12" t="n"/>
      <c r="M168" s="12" t="n"/>
      <c r="N168" s="11" t="n"/>
    </row>
    <row r="169">
      <c r="A169" s="10" t="n"/>
      <c r="B169" s="11" t="n"/>
      <c r="C169" s="12" t="n"/>
      <c r="D169" s="11" t="n"/>
      <c r="E169" s="13">
        <f>IF($A169="","",IFERROR(TEXTJOIN(CHAR(10),TRUE,FILTER('Learning Objectives'!$D$2:$D$500,'Learning Objectives'!$A$2:$A$500="11–13 Years",'Learning Objectives'!$B$2:$B$500=$A169)),""))</f>
        <v/>
      </c>
      <c r="F169" s="11" t="n"/>
      <c r="G169" s="12" t="n"/>
      <c r="H169" s="12" t="n"/>
      <c r="I169" s="11" t="n"/>
      <c r="J169" s="11" t="n"/>
      <c r="K169" s="11" t="n"/>
      <c r="L169" s="12" t="n"/>
      <c r="M169" s="12" t="n"/>
      <c r="N169" s="11" t="n"/>
    </row>
    <row r="170">
      <c r="A170" s="10" t="n"/>
      <c r="B170" s="11" t="n"/>
      <c r="C170" s="12" t="n"/>
      <c r="D170" s="11" t="n"/>
      <c r="E170" s="13">
        <f>IF($A170="","",IFERROR(TEXTJOIN(CHAR(10),TRUE,FILTER('Learning Objectives'!$D$2:$D$500,'Learning Objectives'!$A$2:$A$500="11–13 Years",'Learning Objectives'!$B$2:$B$500=$A170)),""))</f>
        <v/>
      </c>
      <c r="F170" s="11" t="n"/>
      <c r="G170" s="12" t="n"/>
      <c r="H170" s="12" t="n"/>
      <c r="I170" s="11" t="n"/>
      <c r="J170" s="11" t="n"/>
      <c r="K170" s="11" t="n"/>
      <c r="L170" s="12" t="n"/>
      <c r="M170" s="12" t="n"/>
      <c r="N170" s="11" t="n"/>
    </row>
    <row r="171">
      <c r="A171" s="10" t="n"/>
      <c r="B171" s="11" t="n"/>
      <c r="C171" s="12" t="n"/>
      <c r="D171" s="11" t="n"/>
      <c r="E171" s="13">
        <f>IF($A171="","",IFERROR(TEXTJOIN(CHAR(10),TRUE,FILTER('Learning Objectives'!$D$2:$D$500,'Learning Objectives'!$A$2:$A$500="11–13 Years",'Learning Objectives'!$B$2:$B$500=$A171)),""))</f>
        <v/>
      </c>
      <c r="F171" s="11" t="n"/>
      <c r="G171" s="12" t="n"/>
      <c r="H171" s="12" t="n"/>
      <c r="I171" s="11" t="n"/>
      <c r="J171" s="11" t="n"/>
      <c r="K171" s="11" t="n"/>
      <c r="L171" s="12" t="n"/>
      <c r="M171" s="12" t="n"/>
      <c r="N171" s="11" t="n"/>
    </row>
    <row r="172">
      <c r="A172" s="10" t="n"/>
      <c r="B172" s="11" t="n"/>
      <c r="C172" s="12" t="n"/>
      <c r="D172" s="11" t="n"/>
      <c r="E172" s="13">
        <f>IF($A172="","",IFERROR(TEXTJOIN(CHAR(10),TRUE,FILTER('Learning Objectives'!$D$2:$D$500,'Learning Objectives'!$A$2:$A$500="11–13 Years",'Learning Objectives'!$B$2:$B$500=$A172)),""))</f>
        <v/>
      </c>
      <c r="F172" s="11" t="n"/>
      <c r="G172" s="12" t="n"/>
      <c r="H172" s="12" t="n"/>
      <c r="I172" s="11" t="n"/>
      <c r="J172" s="11" t="n"/>
      <c r="K172" s="11" t="n"/>
      <c r="L172" s="12" t="n"/>
      <c r="M172" s="12" t="n"/>
      <c r="N172" s="11" t="n"/>
    </row>
    <row r="173">
      <c r="A173" s="10" t="n"/>
      <c r="B173" s="11" t="n"/>
      <c r="C173" s="12" t="n"/>
      <c r="D173" s="11" t="n"/>
      <c r="E173" s="13">
        <f>IF($A173="","",IFERROR(TEXTJOIN(CHAR(10),TRUE,FILTER('Learning Objectives'!$D$2:$D$500,'Learning Objectives'!$A$2:$A$500="11–13 Years",'Learning Objectives'!$B$2:$B$500=$A173)),""))</f>
        <v/>
      </c>
      <c r="F173" s="11" t="n"/>
      <c r="G173" s="12" t="n"/>
      <c r="H173" s="12" t="n"/>
      <c r="I173" s="11" t="n"/>
      <c r="J173" s="11" t="n"/>
      <c r="K173" s="11" t="n"/>
      <c r="L173" s="12" t="n"/>
      <c r="M173" s="12" t="n"/>
      <c r="N173" s="11" t="n"/>
    </row>
    <row r="174">
      <c r="A174" s="10" t="n"/>
      <c r="B174" s="11" t="n"/>
      <c r="C174" s="12" t="n"/>
      <c r="D174" s="11" t="n"/>
      <c r="E174" s="13">
        <f>IF($A174="","",IFERROR(TEXTJOIN(CHAR(10),TRUE,FILTER('Learning Objectives'!$D$2:$D$500,'Learning Objectives'!$A$2:$A$500="11–13 Years",'Learning Objectives'!$B$2:$B$500=$A174)),""))</f>
        <v/>
      </c>
      <c r="F174" s="11" t="n"/>
      <c r="G174" s="12" t="n"/>
      <c r="H174" s="12" t="n"/>
      <c r="I174" s="11" t="n"/>
      <c r="J174" s="11" t="n"/>
      <c r="K174" s="11" t="n"/>
      <c r="L174" s="12" t="n"/>
      <c r="M174" s="12" t="n"/>
      <c r="N174" s="11" t="n"/>
    </row>
    <row r="175">
      <c r="A175" s="10" t="n"/>
      <c r="B175" s="11" t="n"/>
      <c r="C175" s="12" t="n"/>
      <c r="D175" s="11" t="n"/>
      <c r="E175" s="13">
        <f>IF($A175="","",IFERROR(TEXTJOIN(CHAR(10),TRUE,FILTER('Learning Objectives'!$D$2:$D$500,'Learning Objectives'!$A$2:$A$500="11–13 Years",'Learning Objectives'!$B$2:$B$500=$A175)),""))</f>
        <v/>
      </c>
      <c r="F175" s="11" t="n"/>
      <c r="G175" s="12" t="n"/>
      <c r="H175" s="12" t="n"/>
      <c r="I175" s="11" t="n"/>
      <c r="J175" s="11" t="n"/>
      <c r="K175" s="11" t="n"/>
      <c r="L175" s="12" t="n"/>
      <c r="M175" s="12" t="n"/>
      <c r="N175" s="11" t="n"/>
    </row>
    <row r="176">
      <c r="A176" s="10" t="n"/>
      <c r="B176" s="11" t="n"/>
      <c r="C176" s="12" t="n"/>
      <c r="D176" s="11" t="n"/>
      <c r="E176" s="13">
        <f>IF($A176="","",IFERROR(TEXTJOIN(CHAR(10),TRUE,FILTER('Learning Objectives'!$D$2:$D$500,'Learning Objectives'!$A$2:$A$500="11–13 Years",'Learning Objectives'!$B$2:$B$500=$A176)),""))</f>
        <v/>
      </c>
      <c r="F176" s="11" t="n"/>
      <c r="G176" s="12" t="n"/>
      <c r="H176" s="12" t="n"/>
      <c r="I176" s="11" t="n"/>
      <c r="J176" s="11" t="n"/>
      <c r="K176" s="11" t="n"/>
      <c r="L176" s="12" t="n"/>
      <c r="M176" s="12" t="n"/>
      <c r="N176" s="11" t="n"/>
    </row>
    <row r="177">
      <c r="A177" s="10" t="n"/>
      <c r="B177" s="11" t="n"/>
      <c r="C177" s="12" t="n"/>
      <c r="D177" s="11" t="n"/>
      <c r="E177" s="13">
        <f>IF($A177="","",IFERROR(TEXTJOIN(CHAR(10),TRUE,FILTER('Learning Objectives'!$D$2:$D$500,'Learning Objectives'!$A$2:$A$500="11–13 Years",'Learning Objectives'!$B$2:$B$500=$A177)),""))</f>
        <v/>
      </c>
      <c r="F177" s="11" t="n"/>
      <c r="G177" s="12" t="n"/>
      <c r="H177" s="12" t="n"/>
      <c r="I177" s="11" t="n"/>
      <c r="J177" s="11" t="n"/>
      <c r="K177" s="11" t="n"/>
      <c r="L177" s="12" t="n"/>
      <c r="M177" s="12" t="n"/>
      <c r="N177" s="11" t="n"/>
    </row>
    <row r="178">
      <c r="A178" s="10" t="n"/>
      <c r="B178" s="11" t="n"/>
      <c r="C178" s="12" t="n"/>
      <c r="D178" s="11" t="n"/>
      <c r="E178" s="13">
        <f>IF($A178="","",IFERROR(TEXTJOIN(CHAR(10),TRUE,FILTER('Learning Objectives'!$D$2:$D$500,'Learning Objectives'!$A$2:$A$500="11–13 Years",'Learning Objectives'!$B$2:$B$500=$A178)),""))</f>
        <v/>
      </c>
      <c r="F178" s="11" t="n"/>
      <c r="G178" s="12" t="n"/>
      <c r="H178" s="12" t="n"/>
      <c r="I178" s="11" t="n"/>
      <c r="J178" s="11" t="n"/>
      <c r="K178" s="11" t="n"/>
      <c r="L178" s="12" t="n"/>
      <c r="M178" s="12" t="n"/>
      <c r="N178" s="11" t="n"/>
    </row>
    <row r="179">
      <c r="A179" s="10" t="n"/>
      <c r="B179" s="11" t="n"/>
      <c r="C179" s="12" t="n"/>
      <c r="D179" s="11" t="n"/>
      <c r="E179" s="13">
        <f>IF($A179="","",IFERROR(TEXTJOIN(CHAR(10),TRUE,FILTER('Learning Objectives'!$D$2:$D$500,'Learning Objectives'!$A$2:$A$500="11–13 Years",'Learning Objectives'!$B$2:$B$500=$A179)),""))</f>
        <v/>
      </c>
      <c r="F179" s="11" t="n"/>
      <c r="G179" s="12" t="n"/>
      <c r="H179" s="12" t="n"/>
      <c r="I179" s="11" t="n"/>
      <c r="J179" s="11" t="n"/>
      <c r="K179" s="11" t="n"/>
      <c r="L179" s="12" t="n"/>
      <c r="M179" s="12" t="n"/>
      <c r="N179" s="11" t="n"/>
    </row>
    <row r="180">
      <c r="A180" s="10" t="n"/>
      <c r="B180" s="11" t="n"/>
      <c r="C180" s="12" t="n"/>
      <c r="D180" s="11" t="n"/>
      <c r="E180" s="13">
        <f>IF($A180="","",IFERROR(TEXTJOIN(CHAR(10),TRUE,FILTER('Learning Objectives'!$D$2:$D$500,'Learning Objectives'!$A$2:$A$500="11–13 Years",'Learning Objectives'!$B$2:$B$500=$A180)),""))</f>
        <v/>
      </c>
      <c r="F180" s="11" t="n"/>
      <c r="G180" s="12" t="n"/>
      <c r="H180" s="12" t="n"/>
      <c r="I180" s="11" t="n"/>
      <c r="J180" s="11" t="n"/>
      <c r="K180" s="11" t="n"/>
      <c r="L180" s="12" t="n"/>
      <c r="M180" s="12" t="n"/>
      <c r="N180" s="11" t="n"/>
    </row>
    <row r="181">
      <c r="A181" s="10" t="n"/>
      <c r="B181" s="11" t="n"/>
      <c r="C181" s="12" t="n"/>
      <c r="D181" s="11" t="n"/>
      <c r="E181" s="13">
        <f>IF($A181="","",IFERROR(TEXTJOIN(CHAR(10),TRUE,FILTER('Learning Objectives'!$D$2:$D$500,'Learning Objectives'!$A$2:$A$500="11–13 Years",'Learning Objectives'!$B$2:$B$500=$A181)),""))</f>
        <v/>
      </c>
      <c r="F181" s="11" t="n"/>
      <c r="G181" s="12" t="n"/>
      <c r="H181" s="12" t="n"/>
      <c r="I181" s="11" t="n"/>
      <c r="J181" s="11" t="n"/>
      <c r="K181" s="11" t="n"/>
      <c r="L181" s="12" t="n"/>
      <c r="M181" s="12" t="n"/>
      <c r="N181" s="11" t="n"/>
    </row>
    <row r="182">
      <c r="A182" s="10" t="n"/>
      <c r="B182" s="11" t="n"/>
      <c r="C182" s="12" t="n"/>
      <c r="D182" s="11" t="n"/>
      <c r="E182" s="13">
        <f>IF($A182="","",IFERROR(TEXTJOIN(CHAR(10),TRUE,FILTER('Learning Objectives'!$D$2:$D$500,'Learning Objectives'!$A$2:$A$500="11–13 Years",'Learning Objectives'!$B$2:$B$500=$A182)),""))</f>
        <v/>
      </c>
      <c r="F182" s="11" t="n"/>
      <c r="G182" s="12" t="n"/>
      <c r="H182" s="12" t="n"/>
      <c r="I182" s="11" t="n"/>
      <c r="J182" s="11" t="n"/>
      <c r="K182" s="11" t="n"/>
      <c r="L182" s="12" t="n"/>
      <c r="M182" s="12" t="n"/>
      <c r="N182" s="11" t="n"/>
    </row>
    <row r="183">
      <c r="A183" s="10" t="n"/>
      <c r="B183" s="11" t="n"/>
      <c r="C183" s="12" t="n"/>
      <c r="D183" s="11" t="n"/>
      <c r="E183" s="13">
        <f>IF($A183="","",IFERROR(TEXTJOIN(CHAR(10),TRUE,FILTER('Learning Objectives'!$D$2:$D$500,'Learning Objectives'!$A$2:$A$500="11–13 Years",'Learning Objectives'!$B$2:$B$500=$A183)),""))</f>
        <v/>
      </c>
      <c r="F183" s="11" t="n"/>
      <c r="G183" s="12" t="n"/>
      <c r="H183" s="12" t="n"/>
      <c r="I183" s="11" t="n"/>
      <c r="J183" s="11" t="n"/>
      <c r="K183" s="11" t="n"/>
      <c r="L183" s="12" t="n"/>
      <c r="M183" s="12" t="n"/>
      <c r="N183" s="11" t="n"/>
    </row>
    <row r="184">
      <c r="A184" s="10" t="n"/>
      <c r="B184" s="11" t="n"/>
      <c r="C184" s="12" t="n"/>
      <c r="D184" s="11" t="n"/>
      <c r="E184" s="13">
        <f>IF($A184="","",IFERROR(TEXTJOIN(CHAR(10),TRUE,FILTER('Learning Objectives'!$D$2:$D$500,'Learning Objectives'!$A$2:$A$500="11–13 Years",'Learning Objectives'!$B$2:$B$500=$A184)),""))</f>
        <v/>
      </c>
      <c r="F184" s="11" t="n"/>
      <c r="G184" s="12" t="n"/>
      <c r="H184" s="12" t="n"/>
      <c r="I184" s="11" t="n"/>
      <c r="J184" s="11" t="n"/>
      <c r="K184" s="11" t="n"/>
      <c r="L184" s="12" t="n"/>
      <c r="M184" s="12" t="n"/>
      <c r="N184" s="11" t="n"/>
    </row>
    <row r="185">
      <c r="A185" s="10" t="n"/>
      <c r="B185" s="11" t="n"/>
      <c r="C185" s="12" t="n"/>
      <c r="D185" s="11" t="n"/>
      <c r="E185" s="13">
        <f>IF($A185="","",IFERROR(TEXTJOIN(CHAR(10),TRUE,FILTER('Learning Objectives'!$D$2:$D$500,'Learning Objectives'!$A$2:$A$500="11–13 Years",'Learning Objectives'!$B$2:$B$500=$A185)),""))</f>
        <v/>
      </c>
      <c r="F185" s="11" t="n"/>
      <c r="G185" s="12" t="n"/>
      <c r="H185" s="12" t="n"/>
      <c r="I185" s="11" t="n"/>
      <c r="J185" s="11" t="n"/>
      <c r="K185" s="11" t="n"/>
      <c r="L185" s="12" t="n"/>
      <c r="M185" s="12" t="n"/>
      <c r="N185" s="11" t="n"/>
    </row>
    <row r="186">
      <c r="A186" s="10" t="n"/>
      <c r="B186" s="11" t="n"/>
      <c r="C186" s="12" t="n"/>
      <c r="D186" s="11" t="n"/>
      <c r="E186" s="13">
        <f>IF($A186="","",IFERROR(TEXTJOIN(CHAR(10),TRUE,FILTER('Learning Objectives'!$D$2:$D$500,'Learning Objectives'!$A$2:$A$500="11–13 Years",'Learning Objectives'!$B$2:$B$500=$A186)),""))</f>
        <v/>
      </c>
      <c r="F186" s="11" t="n"/>
      <c r="G186" s="12" t="n"/>
      <c r="H186" s="12" t="n"/>
      <c r="I186" s="11" t="n"/>
      <c r="J186" s="11" t="n"/>
      <c r="K186" s="11" t="n"/>
      <c r="L186" s="12" t="n"/>
      <c r="M186" s="12" t="n"/>
      <c r="N186" s="11" t="n"/>
    </row>
    <row r="187">
      <c r="A187" s="10" t="n"/>
      <c r="B187" s="11" t="n"/>
      <c r="C187" s="12" t="n"/>
      <c r="D187" s="11" t="n"/>
      <c r="E187" s="13">
        <f>IF($A187="","",IFERROR(TEXTJOIN(CHAR(10),TRUE,FILTER('Learning Objectives'!$D$2:$D$500,'Learning Objectives'!$A$2:$A$500="11–13 Years",'Learning Objectives'!$B$2:$B$500=$A187)),""))</f>
        <v/>
      </c>
      <c r="F187" s="11" t="n"/>
      <c r="G187" s="12" t="n"/>
      <c r="H187" s="12" t="n"/>
      <c r="I187" s="11" t="n"/>
      <c r="J187" s="11" t="n"/>
      <c r="K187" s="11" t="n"/>
      <c r="L187" s="12" t="n"/>
      <c r="M187" s="12" t="n"/>
      <c r="N187" s="11" t="n"/>
    </row>
    <row r="188">
      <c r="A188" s="10" t="n"/>
      <c r="B188" s="11" t="n"/>
      <c r="C188" s="12" t="n"/>
      <c r="D188" s="11" t="n"/>
      <c r="E188" s="13">
        <f>IF($A188="","",IFERROR(TEXTJOIN(CHAR(10),TRUE,FILTER('Learning Objectives'!$D$2:$D$500,'Learning Objectives'!$A$2:$A$500="11–13 Years",'Learning Objectives'!$B$2:$B$500=$A188)),""))</f>
        <v/>
      </c>
      <c r="F188" s="11" t="n"/>
      <c r="G188" s="12" t="n"/>
      <c r="H188" s="12" t="n"/>
      <c r="I188" s="11" t="n"/>
      <c r="J188" s="11" t="n"/>
      <c r="K188" s="11" t="n"/>
      <c r="L188" s="12" t="n"/>
      <c r="M188" s="12" t="n"/>
      <c r="N188" s="11" t="n"/>
    </row>
    <row r="189">
      <c r="A189" s="10" t="n"/>
      <c r="B189" s="11" t="n"/>
      <c r="C189" s="12" t="n"/>
      <c r="D189" s="11" t="n"/>
      <c r="E189" s="13">
        <f>IF($A189="","",IFERROR(TEXTJOIN(CHAR(10),TRUE,FILTER('Learning Objectives'!$D$2:$D$500,'Learning Objectives'!$A$2:$A$500="11–13 Years",'Learning Objectives'!$B$2:$B$500=$A189)),""))</f>
        <v/>
      </c>
      <c r="F189" s="11" t="n"/>
      <c r="G189" s="12" t="n"/>
      <c r="H189" s="12" t="n"/>
      <c r="I189" s="11" t="n"/>
      <c r="J189" s="11" t="n"/>
      <c r="K189" s="11" t="n"/>
      <c r="L189" s="12" t="n"/>
      <c r="M189" s="12" t="n"/>
      <c r="N189" s="11" t="n"/>
    </row>
    <row r="190">
      <c r="A190" s="10" t="n"/>
      <c r="B190" s="11" t="n"/>
      <c r="C190" s="12" t="n"/>
      <c r="D190" s="11" t="n"/>
      <c r="E190" s="13">
        <f>IF($A190="","",IFERROR(TEXTJOIN(CHAR(10),TRUE,FILTER('Learning Objectives'!$D$2:$D$500,'Learning Objectives'!$A$2:$A$500="11–13 Years",'Learning Objectives'!$B$2:$B$500=$A190)),""))</f>
        <v/>
      </c>
      <c r="F190" s="11" t="n"/>
      <c r="G190" s="12" t="n"/>
      <c r="H190" s="12" t="n"/>
      <c r="I190" s="11" t="n"/>
      <c r="J190" s="11" t="n"/>
      <c r="K190" s="11" t="n"/>
      <c r="L190" s="12" t="n"/>
      <c r="M190" s="12" t="n"/>
      <c r="N190" s="11" t="n"/>
    </row>
    <row r="191">
      <c r="A191" s="10" t="n"/>
      <c r="B191" s="11" t="n"/>
      <c r="C191" s="12" t="n"/>
      <c r="D191" s="11" t="n"/>
      <c r="E191" s="13">
        <f>IF($A191="","",IFERROR(TEXTJOIN(CHAR(10),TRUE,FILTER('Learning Objectives'!$D$2:$D$500,'Learning Objectives'!$A$2:$A$500="11–13 Years",'Learning Objectives'!$B$2:$B$500=$A191)),""))</f>
        <v/>
      </c>
      <c r="F191" s="11" t="n"/>
      <c r="G191" s="12" t="n"/>
      <c r="H191" s="12" t="n"/>
      <c r="I191" s="11" t="n"/>
      <c r="J191" s="11" t="n"/>
      <c r="K191" s="11" t="n"/>
      <c r="L191" s="12" t="n"/>
      <c r="M191" s="12" t="n"/>
      <c r="N191" s="11" t="n"/>
    </row>
    <row r="192">
      <c r="A192" s="10" t="n"/>
      <c r="B192" s="11" t="n"/>
      <c r="C192" s="12" t="n"/>
      <c r="D192" s="11" t="n"/>
      <c r="E192" s="13">
        <f>IF($A192="","",IFERROR(TEXTJOIN(CHAR(10),TRUE,FILTER('Learning Objectives'!$D$2:$D$500,'Learning Objectives'!$A$2:$A$500="11–13 Years",'Learning Objectives'!$B$2:$B$500=$A192)),""))</f>
        <v/>
      </c>
      <c r="F192" s="11" t="n"/>
      <c r="G192" s="12" t="n"/>
      <c r="H192" s="12" t="n"/>
      <c r="I192" s="11" t="n"/>
      <c r="J192" s="11" t="n"/>
      <c r="K192" s="11" t="n"/>
      <c r="L192" s="12" t="n"/>
      <c r="M192" s="12" t="n"/>
      <c r="N192" s="11" t="n"/>
    </row>
    <row r="193">
      <c r="A193" s="10" t="n"/>
      <c r="B193" s="11" t="n"/>
      <c r="C193" s="12" t="n"/>
      <c r="D193" s="11" t="n"/>
      <c r="E193" s="13">
        <f>IF($A193="","",IFERROR(TEXTJOIN(CHAR(10),TRUE,FILTER('Learning Objectives'!$D$2:$D$500,'Learning Objectives'!$A$2:$A$500="11–13 Years",'Learning Objectives'!$B$2:$B$500=$A193)),""))</f>
        <v/>
      </c>
      <c r="F193" s="11" t="n"/>
      <c r="G193" s="12" t="n"/>
      <c r="H193" s="12" t="n"/>
      <c r="I193" s="11" t="n"/>
      <c r="J193" s="11" t="n"/>
      <c r="K193" s="11" t="n"/>
      <c r="L193" s="12" t="n"/>
      <c r="M193" s="12" t="n"/>
      <c r="N193" s="11" t="n"/>
    </row>
    <row r="194">
      <c r="A194" s="10" t="n"/>
      <c r="B194" s="11" t="n"/>
      <c r="C194" s="12" t="n"/>
      <c r="D194" s="11" t="n"/>
      <c r="E194" s="13">
        <f>IF($A194="","",IFERROR(TEXTJOIN(CHAR(10),TRUE,FILTER('Learning Objectives'!$D$2:$D$500,'Learning Objectives'!$A$2:$A$500="11–13 Years",'Learning Objectives'!$B$2:$B$500=$A194)),""))</f>
        <v/>
      </c>
      <c r="F194" s="11" t="n"/>
      <c r="G194" s="12" t="n"/>
      <c r="H194" s="12" t="n"/>
      <c r="I194" s="11" t="n"/>
      <c r="J194" s="11" t="n"/>
      <c r="K194" s="11" t="n"/>
      <c r="L194" s="12" t="n"/>
      <c r="M194" s="12" t="n"/>
      <c r="N194" s="11" t="n"/>
    </row>
    <row r="195">
      <c r="A195" s="10" t="n"/>
      <c r="B195" s="11" t="n"/>
      <c r="C195" s="12" t="n"/>
      <c r="D195" s="11" t="n"/>
      <c r="E195" s="13">
        <f>IF($A195="","",IFERROR(TEXTJOIN(CHAR(10),TRUE,FILTER('Learning Objectives'!$D$2:$D$500,'Learning Objectives'!$A$2:$A$500="11–13 Years",'Learning Objectives'!$B$2:$B$500=$A195)),""))</f>
        <v/>
      </c>
      <c r="F195" s="11" t="n"/>
      <c r="G195" s="12" t="n"/>
      <c r="H195" s="12" t="n"/>
      <c r="I195" s="11" t="n"/>
      <c r="J195" s="11" t="n"/>
      <c r="K195" s="11" t="n"/>
      <c r="L195" s="12" t="n"/>
      <c r="M195" s="12" t="n"/>
      <c r="N195" s="11" t="n"/>
    </row>
    <row r="196">
      <c r="A196" s="10" t="n"/>
      <c r="B196" s="11" t="n"/>
      <c r="C196" s="12" t="n"/>
      <c r="D196" s="11" t="n"/>
      <c r="E196" s="13">
        <f>IF($A196="","",IFERROR(TEXTJOIN(CHAR(10),TRUE,FILTER('Learning Objectives'!$D$2:$D$500,'Learning Objectives'!$A$2:$A$500="11–13 Years",'Learning Objectives'!$B$2:$B$500=$A196)),""))</f>
        <v/>
      </c>
      <c r="F196" s="11" t="n"/>
      <c r="G196" s="12" t="n"/>
      <c r="H196" s="12" t="n"/>
      <c r="I196" s="11" t="n"/>
      <c r="J196" s="11" t="n"/>
      <c r="K196" s="11" t="n"/>
      <c r="L196" s="12" t="n"/>
      <c r="M196" s="12" t="n"/>
      <c r="N196" s="11" t="n"/>
    </row>
    <row r="197">
      <c r="A197" s="10" t="n"/>
      <c r="B197" s="11" t="n"/>
      <c r="C197" s="12" t="n"/>
      <c r="D197" s="11" t="n"/>
      <c r="E197" s="13">
        <f>IF($A197="","",IFERROR(TEXTJOIN(CHAR(10),TRUE,FILTER('Learning Objectives'!$D$2:$D$500,'Learning Objectives'!$A$2:$A$500="11–13 Years",'Learning Objectives'!$B$2:$B$500=$A197)),""))</f>
        <v/>
      </c>
      <c r="F197" s="11" t="n"/>
      <c r="G197" s="12" t="n"/>
      <c r="H197" s="12" t="n"/>
      <c r="I197" s="11" t="n"/>
      <c r="J197" s="11" t="n"/>
      <c r="K197" s="11" t="n"/>
      <c r="L197" s="12" t="n"/>
      <c r="M197" s="12" t="n"/>
      <c r="N197" s="11" t="n"/>
    </row>
    <row r="198">
      <c r="A198" s="10" t="n"/>
      <c r="B198" s="11" t="n"/>
      <c r="C198" s="12" t="n"/>
      <c r="D198" s="11" t="n"/>
      <c r="E198" s="13">
        <f>IF($A198="","",IFERROR(TEXTJOIN(CHAR(10),TRUE,FILTER('Learning Objectives'!$D$2:$D$500,'Learning Objectives'!$A$2:$A$500="11–13 Years",'Learning Objectives'!$B$2:$B$500=$A198)),""))</f>
        <v/>
      </c>
      <c r="F198" s="11" t="n"/>
      <c r="G198" s="12" t="n"/>
      <c r="H198" s="12" t="n"/>
      <c r="I198" s="11" t="n"/>
      <c r="J198" s="11" t="n"/>
      <c r="K198" s="11" t="n"/>
      <c r="L198" s="12" t="n"/>
      <c r="M198" s="12" t="n"/>
      <c r="N198" s="11" t="n"/>
    </row>
    <row r="199">
      <c r="A199" s="10" t="n"/>
      <c r="B199" s="11" t="n"/>
      <c r="C199" s="12" t="n"/>
      <c r="D199" s="11" t="n"/>
      <c r="E199" s="13">
        <f>IF($A199="","",IFERROR(TEXTJOIN(CHAR(10),TRUE,FILTER('Learning Objectives'!$D$2:$D$500,'Learning Objectives'!$A$2:$A$500="11–13 Years",'Learning Objectives'!$B$2:$B$500=$A199)),""))</f>
        <v/>
      </c>
      <c r="F199" s="11" t="n"/>
      <c r="G199" s="12" t="n"/>
      <c r="H199" s="12" t="n"/>
      <c r="I199" s="11" t="n"/>
      <c r="J199" s="11" t="n"/>
      <c r="K199" s="11" t="n"/>
      <c r="L199" s="12" t="n"/>
      <c r="M199" s="12" t="n"/>
      <c r="N199" s="11" t="n"/>
    </row>
    <row r="200">
      <c r="A200" s="10" t="n"/>
      <c r="B200" s="11" t="n"/>
      <c r="C200" s="12" t="n"/>
      <c r="D200" s="11" t="n"/>
      <c r="E200" s="13">
        <f>IF($A200="","",IFERROR(TEXTJOIN(CHAR(10),TRUE,FILTER('Learning Objectives'!$D$2:$D$500,'Learning Objectives'!$A$2:$A$500="11–13 Years",'Learning Objectives'!$B$2:$B$500=$A200)),""))</f>
        <v/>
      </c>
      <c r="F200" s="11" t="n"/>
      <c r="G200" s="12" t="n"/>
      <c r="H200" s="12" t="n"/>
      <c r="I200" s="11" t="n"/>
      <c r="J200" s="11" t="n"/>
      <c r="K200" s="11" t="n"/>
      <c r="L200" s="12" t="n"/>
      <c r="M200" s="12" t="n"/>
      <c r="N200" s="11" t="n"/>
    </row>
    <row r="201">
      <c r="A201" s="10" t="n"/>
      <c r="B201" s="11" t="n"/>
      <c r="C201" s="12" t="n"/>
      <c r="D201" s="11" t="n"/>
      <c r="E201" s="13">
        <f>IF($A201="","",IFERROR(TEXTJOIN(CHAR(10),TRUE,FILTER('Learning Objectives'!$D$2:$D$500,'Learning Objectives'!$A$2:$A$500="11–13 Years",'Learning Objectives'!$B$2:$B$500=$A201)),""))</f>
        <v/>
      </c>
      <c r="F201" s="11" t="n"/>
      <c r="G201" s="12" t="n"/>
      <c r="H201" s="12" t="n"/>
      <c r="I201" s="11" t="n"/>
      <c r="J201" s="11" t="n"/>
      <c r="K201" s="11" t="n"/>
      <c r="L201" s="12" t="n"/>
      <c r="M201" s="12" t="n"/>
      <c r="N201" s="11" t="n"/>
    </row>
  </sheetData>
  <autoFilter ref="A1:N1"/>
  <dataValidations count="2">
    <dataValidation sqref="K2:K201" showDropDown="0" showInputMessage="0" showErrorMessage="0" allowBlank="1" error="Pick one of the listed values." type="list">
      <formula1>"Pick the right one,Match things together,Put things in order,Explore and find"</formula1>
    </dataValidation>
    <dataValidation sqref="M2:M201" showDropDown="0" showInputMessage="0" showErrorMessage="1" allowBlank="1" error="Pick one of the listed values." type="list">
      <formula1>"Draft,Ready for Review,Published"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18" customWidth="1" min="3" max="3"/>
    <col width="62" customWidth="1" min="4" max="4"/>
    <col width="42" customWidth="1" min="5" max="5"/>
    <col width="38" customWidth="1" min="6" max="6"/>
    <col width="20" customWidth="1" min="7" max="7"/>
    <col width="26" customWidth="1" min="8" max="8"/>
    <col width="38" customWidth="1" min="9" max="9"/>
    <col width="38" customWidth="1" min="10" max="10"/>
    <col width="30" customWidth="1" min="11" max="11"/>
    <col width="18" customWidth="1" min="12" max="12"/>
    <col width="18" customWidth="1" min="13" max="13"/>
    <col width="40" customWidth="1" min="14" max="14"/>
  </cols>
  <sheetData>
    <row r="1" ht="42" customHeight="1">
      <c r="A1" s="9" t="inlineStr">
        <is>
          <t>Chapter</t>
        </is>
      </c>
      <c r="B1" s="9" t="inlineStr">
        <is>
          <t>Title</t>
        </is>
      </c>
      <c r="C1" s="9" t="inlineStr">
        <is>
          <t>Bible Reference</t>
        </is>
      </c>
      <c r="D1" s="9" t="inlineStr">
        <is>
          <t>Curriculum</t>
        </is>
      </c>
      <c r="E1" s="9" t="inlineStr">
        <is>
          <t>Learning Objectives</t>
        </is>
      </c>
      <c r="F1" s="9" t="inlineStr">
        <is>
          <t>Memory Verse</t>
        </is>
      </c>
      <c r="G1" s="9" t="inlineStr">
        <is>
          <t>Memory Verse Reference</t>
        </is>
      </c>
      <c r="H1" s="9" t="inlineStr">
        <is>
          <t>Video</t>
        </is>
      </c>
      <c r="I1" s="9" t="inlineStr">
        <is>
          <t>Take Home</t>
        </is>
      </c>
      <c r="J1" s="9" t="inlineStr">
        <is>
          <t>Suggested Story Approach</t>
        </is>
      </c>
      <c r="K1" s="9" t="inlineStr">
        <is>
          <t>Suggested Game Approach</t>
        </is>
      </c>
      <c r="L1" s="9" t="inlineStr">
        <is>
          <t>Contributor</t>
        </is>
      </c>
      <c r="M1" s="9" t="inlineStr">
        <is>
          <t>Status</t>
        </is>
      </c>
      <c r="N1" s="9" t="inlineStr">
        <is>
          <t>Notes</t>
        </is>
      </c>
    </row>
    <row r="2">
      <c r="A2" s="10" t="n"/>
      <c r="B2" s="11" t="n"/>
      <c r="C2" s="12" t="n"/>
      <c r="D2" s="11" t="n"/>
      <c r="E2" s="13">
        <f>IF($A2="","",IFERROR(TEXTJOIN(CHAR(10),TRUE,FILTER('Learning Objectives'!$D$2:$D$500,'Learning Objectives'!$A$2:$A$500="13–16 Years",'Learning Objectives'!$B$2:$B$500=$A2)),""))</f>
        <v/>
      </c>
      <c r="F2" s="11" t="n"/>
      <c r="G2" s="12" t="n"/>
      <c r="H2" s="12" t="n"/>
      <c r="I2" s="11" t="n"/>
      <c r="J2" s="11" t="n"/>
      <c r="K2" s="11" t="n"/>
      <c r="L2" s="12" t="n"/>
      <c r="M2" s="12" t="n"/>
      <c r="N2" s="11" t="n"/>
    </row>
    <row r="3">
      <c r="A3" s="10" t="n"/>
      <c r="B3" s="11" t="n"/>
      <c r="C3" s="12" t="n"/>
      <c r="D3" s="11" t="n"/>
      <c r="E3" s="13">
        <f>IF($A3="","",IFERROR(TEXTJOIN(CHAR(10),TRUE,FILTER('Learning Objectives'!$D$2:$D$500,'Learning Objectives'!$A$2:$A$500="13–16 Years",'Learning Objectives'!$B$2:$B$500=$A3)),""))</f>
        <v/>
      </c>
      <c r="F3" s="11" t="n"/>
      <c r="G3" s="12" t="n"/>
      <c r="H3" s="12" t="n"/>
      <c r="I3" s="11" t="n"/>
      <c r="J3" s="11" t="n"/>
      <c r="K3" s="11" t="n"/>
      <c r="L3" s="12" t="n"/>
      <c r="M3" s="12" t="n"/>
      <c r="N3" s="11" t="n"/>
    </row>
    <row r="4">
      <c r="A4" s="10" t="n"/>
      <c r="B4" s="11" t="n"/>
      <c r="C4" s="12" t="n"/>
      <c r="D4" s="11" t="n"/>
      <c r="E4" s="13">
        <f>IF($A4="","",IFERROR(TEXTJOIN(CHAR(10),TRUE,FILTER('Learning Objectives'!$D$2:$D$500,'Learning Objectives'!$A$2:$A$500="13–16 Years",'Learning Objectives'!$B$2:$B$500=$A4)),""))</f>
        <v/>
      </c>
      <c r="F4" s="11" t="n"/>
      <c r="G4" s="12" t="n"/>
      <c r="H4" s="12" t="n"/>
      <c r="I4" s="11" t="n"/>
      <c r="J4" s="11" t="n"/>
      <c r="K4" s="11" t="n"/>
      <c r="L4" s="12" t="n"/>
      <c r="M4" s="12" t="n"/>
      <c r="N4" s="11" t="n"/>
    </row>
    <row r="5">
      <c r="A5" s="10" t="n"/>
      <c r="B5" s="11" t="n"/>
      <c r="C5" s="12" t="n"/>
      <c r="D5" s="11" t="n"/>
      <c r="E5" s="13">
        <f>IF($A5="","",IFERROR(TEXTJOIN(CHAR(10),TRUE,FILTER('Learning Objectives'!$D$2:$D$500,'Learning Objectives'!$A$2:$A$500="13–16 Years",'Learning Objectives'!$B$2:$B$500=$A5)),""))</f>
        <v/>
      </c>
      <c r="F5" s="11" t="n"/>
      <c r="G5" s="12" t="n"/>
      <c r="H5" s="12" t="n"/>
      <c r="I5" s="11" t="n"/>
      <c r="J5" s="11" t="n"/>
      <c r="K5" s="11" t="n"/>
      <c r="L5" s="12" t="n"/>
      <c r="M5" s="12" t="n"/>
      <c r="N5" s="11" t="n"/>
    </row>
    <row r="6">
      <c r="A6" s="10" t="n"/>
      <c r="B6" s="11" t="n"/>
      <c r="C6" s="12" t="n"/>
      <c r="D6" s="11" t="n"/>
      <c r="E6" s="13">
        <f>IF($A6="","",IFERROR(TEXTJOIN(CHAR(10),TRUE,FILTER('Learning Objectives'!$D$2:$D$500,'Learning Objectives'!$A$2:$A$500="13–16 Years",'Learning Objectives'!$B$2:$B$500=$A6)),""))</f>
        <v/>
      </c>
      <c r="F6" s="11" t="n"/>
      <c r="G6" s="12" t="n"/>
      <c r="H6" s="12" t="n"/>
      <c r="I6" s="11" t="n"/>
      <c r="J6" s="11" t="n"/>
      <c r="K6" s="11" t="n"/>
      <c r="L6" s="12" t="n"/>
      <c r="M6" s="12" t="n"/>
      <c r="N6" s="11" t="n"/>
    </row>
    <row r="7">
      <c r="A7" s="10" t="n"/>
      <c r="B7" s="11" t="n"/>
      <c r="C7" s="12" t="n"/>
      <c r="D7" s="11" t="n"/>
      <c r="E7" s="13">
        <f>IF($A7="","",IFERROR(TEXTJOIN(CHAR(10),TRUE,FILTER('Learning Objectives'!$D$2:$D$500,'Learning Objectives'!$A$2:$A$500="13–16 Years",'Learning Objectives'!$B$2:$B$500=$A7)),""))</f>
        <v/>
      </c>
      <c r="F7" s="11" t="n"/>
      <c r="G7" s="12" t="n"/>
      <c r="H7" s="12" t="n"/>
      <c r="I7" s="11" t="n"/>
      <c r="J7" s="11" t="n"/>
      <c r="K7" s="11" t="n"/>
      <c r="L7" s="12" t="n"/>
      <c r="M7" s="12" t="n"/>
      <c r="N7" s="11" t="n"/>
    </row>
    <row r="8">
      <c r="A8" s="10" t="n"/>
      <c r="B8" s="11" t="n"/>
      <c r="C8" s="12" t="n"/>
      <c r="D8" s="11" t="n"/>
      <c r="E8" s="13">
        <f>IF($A8="","",IFERROR(TEXTJOIN(CHAR(10),TRUE,FILTER('Learning Objectives'!$D$2:$D$500,'Learning Objectives'!$A$2:$A$500="13–16 Years",'Learning Objectives'!$B$2:$B$500=$A8)),""))</f>
        <v/>
      </c>
      <c r="F8" s="11" t="n"/>
      <c r="G8" s="12" t="n"/>
      <c r="H8" s="12" t="n"/>
      <c r="I8" s="11" t="n"/>
      <c r="J8" s="11" t="n"/>
      <c r="K8" s="11" t="n"/>
      <c r="L8" s="12" t="n"/>
      <c r="M8" s="12" t="n"/>
      <c r="N8" s="11" t="n"/>
    </row>
    <row r="9">
      <c r="A9" s="10" t="n"/>
      <c r="B9" s="11" t="n"/>
      <c r="C9" s="12" t="n"/>
      <c r="D9" s="11" t="n"/>
      <c r="E9" s="13">
        <f>IF($A9="","",IFERROR(TEXTJOIN(CHAR(10),TRUE,FILTER('Learning Objectives'!$D$2:$D$500,'Learning Objectives'!$A$2:$A$500="13–16 Years",'Learning Objectives'!$B$2:$B$500=$A9)),""))</f>
        <v/>
      </c>
      <c r="F9" s="11" t="n"/>
      <c r="G9" s="12" t="n"/>
      <c r="H9" s="12" t="n"/>
      <c r="I9" s="11" t="n"/>
      <c r="J9" s="11" t="n"/>
      <c r="K9" s="11" t="n"/>
      <c r="L9" s="12" t="n"/>
      <c r="M9" s="12" t="n"/>
      <c r="N9" s="11" t="n"/>
    </row>
    <row r="10">
      <c r="A10" s="10" t="n"/>
      <c r="B10" s="11" t="n"/>
      <c r="C10" s="12" t="n"/>
      <c r="D10" s="11" t="n"/>
      <c r="E10" s="13">
        <f>IF($A10="","",IFERROR(TEXTJOIN(CHAR(10),TRUE,FILTER('Learning Objectives'!$D$2:$D$500,'Learning Objectives'!$A$2:$A$500="13–16 Years",'Learning Objectives'!$B$2:$B$500=$A10)),""))</f>
        <v/>
      </c>
      <c r="F10" s="11" t="n"/>
      <c r="G10" s="12" t="n"/>
      <c r="H10" s="12" t="n"/>
      <c r="I10" s="11" t="n"/>
      <c r="J10" s="11" t="n"/>
      <c r="K10" s="11" t="n"/>
      <c r="L10" s="12" t="n"/>
      <c r="M10" s="12" t="n"/>
      <c r="N10" s="11" t="n"/>
    </row>
    <row r="11">
      <c r="A11" s="10" t="n"/>
      <c r="B11" s="11" t="n"/>
      <c r="C11" s="12" t="n"/>
      <c r="D11" s="11" t="n"/>
      <c r="E11" s="13">
        <f>IF($A11="","",IFERROR(TEXTJOIN(CHAR(10),TRUE,FILTER('Learning Objectives'!$D$2:$D$500,'Learning Objectives'!$A$2:$A$500="13–16 Years",'Learning Objectives'!$B$2:$B$500=$A11)),""))</f>
        <v/>
      </c>
      <c r="F11" s="11" t="n"/>
      <c r="G11" s="12" t="n"/>
      <c r="H11" s="12" t="n"/>
      <c r="I11" s="11" t="n"/>
      <c r="J11" s="11" t="n"/>
      <c r="K11" s="11" t="n"/>
      <c r="L11" s="12" t="n"/>
      <c r="M11" s="12" t="n"/>
      <c r="N11" s="11" t="n"/>
    </row>
    <row r="12">
      <c r="A12" s="10" t="n"/>
      <c r="B12" s="11" t="n"/>
      <c r="C12" s="12" t="n"/>
      <c r="D12" s="11" t="n"/>
      <c r="E12" s="13">
        <f>IF($A12="","",IFERROR(TEXTJOIN(CHAR(10),TRUE,FILTER('Learning Objectives'!$D$2:$D$500,'Learning Objectives'!$A$2:$A$500="13–16 Years",'Learning Objectives'!$B$2:$B$500=$A12)),""))</f>
        <v/>
      </c>
      <c r="F12" s="11" t="n"/>
      <c r="G12" s="12" t="n"/>
      <c r="H12" s="12" t="n"/>
      <c r="I12" s="11" t="n"/>
      <c r="J12" s="11" t="n"/>
      <c r="K12" s="11" t="n"/>
      <c r="L12" s="12" t="n"/>
      <c r="M12" s="12" t="n"/>
      <c r="N12" s="11" t="n"/>
    </row>
    <row r="13">
      <c r="A13" s="10" t="n"/>
      <c r="B13" s="11" t="n"/>
      <c r="C13" s="12" t="n"/>
      <c r="D13" s="11" t="n"/>
      <c r="E13" s="13">
        <f>IF($A13="","",IFERROR(TEXTJOIN(CHAR(10),TRUE,FILTER('Learning Objectives'!$D$2:$D$500,'Learning Objectives'!$A$2:$A$500="13–16 Years",'Learning Objectives'!$B$2:$B$500=$A13)),""))</f>
        <v/>
      </c>
      <c r="F13" s="11" t="n"/>
      <c r="G13" s="12" t="n"/>
      <c r="H13" s="12" t="n"/>
      <c r="I13" s="11" t="n"/>
      <c r="J13" s="11" t="n"/>
      <c r="K13" s="11" t="n"/>
      <c r="L13" s="12" t="n"/>
      <c r="M13" s="12" t="n"/>
      <c r="N13" s="11" t="n"/>
    </row>
    <row r="14">
      <c r="A14" s="10" t="n"/>
      <c r="B14" s="11" t="n"/>
      <c r="C14" s="12" t="n"/>
      <c r="D14" s="11" t="n"/>
      <c r="E14" s="13">
        <f>IF($A14="","",IFERROR(TEXTJOIN(CHAR(10),TRUE,FILTER('Learning Objectives'!$D$2:$D$500,'Learning Objectives'!$A$2:$A$500="13–16 Years",'Learning Objectives'!$B$2:$B$500=$A14)),""))</f>
        <v/>
      </c>
      <c r="F14" s="11" t="n"/>
      <c r="G14" s="12" t="n"/>
      <c r="H14" s="12" t="n"/>
      <c r="I14" s="11" t="n"/>
      <c r="J14" s="11" t="n"/>
      <c r="K14" s="11" t="n"/>
      <c r="L14" s="12" t="n"/>
      <c r="M14" s="12" t="n"/>
      <c r="N14" s="11" t="n"/>
    </row>
    <row r="15">
      <c r="A15" s="10" t="n"/>
      <c r="B15" s="11" t="n"/>
      <c r="C15" s="12" t="n"/>
      <c r="D15" s="11" t="n"/>
      <c r="E15" s="13">
        <f>IF($A15="","",IFERROR(TEXTJOIN(CHAR(10),TRUE,FILTER('Learning Objectives'!$D$2:$D$500,'Learning Objectives'!$A$2:$A$500="13–16 Years",'Learning Objectives'!$B$2:$B$500=$A15)),""))</f>
        <v/>
      </c>
      <c r="F15" s="11" t="n"/>
      <c r="G15" s="12" t="n"/>
      <c r="H15" s="12" t="n"/>
      <c r="I15" s="11" t="n"/>
      <c r="J15" s="11" t="n"/>
      <c r="K15" s="11" t="n"/>
      <c r="L15" s="12" t="n"/>
      <c r="M15" s="12" t="n"/>
      <c r="N15" s="11" t="n"/>
    </row>
    <row r="16">
      <c r="A16" s="10" t="n"/>
      <c r="B16" s="11" t="n"/>
      <c r="C16" s="12" t="n"/>
      <c r="D16" s="11" t="n"/>
      <c r="E16" s="13">
        <f>IF($A16="","",IFERROR(TEXTJOIN(CHAR(10),TRUE,FILTER('Learning Objectives'!$D$2:$D$500,'Learning Objectives'!$A$2:$A$500="13–16 Years",'Learning Objectives'!$B$2:$B$500=$A16)),""))</f>
        <v/>
      </c>
      <c r="F16" s="11" t="n"/>
      <c r="G16" s="12" t="n"/>
      <c r="H16" s="12" t="n"/>
      <c r="I16" s="11" t="n"/>
      <c r="J16" s="11" t="n"/>
      <c r="K16" s="11" t="n"/>
      <c r="L16" s="12" t="n"/>
      <c r="M16" s="12" t="n"/>
      <c r="N16" s="11" t="n"/>
    </row>
    <row r="17">
      <c r="A17" s="10" t="n"/>
      <c r="B17" s="11" t="n"/>
      <c r="C17" s="12" t="n"/>
      <c r="D17" s="11" t="n"/>
      <c r="E17" s="13">
        <f>IF($A17="","",IFERROR(TEXTJOIN(CHAR(10),TRUE,FILTER('Learning Objectives'!$D$2:$D$500,'Learning Objectives'!$A$2:$A$500="13–16 Years",'Learning Objectives'!$B$2:$B$500=$A17)),""))</f>
        <v/>
      </c>
      <c r="F17" s="11" t="n"/>
      <c r="G17" s="12" t="n"/>
      <c r="H17" s="12" t="n"/>
      <c r="I17" s="11" t="n"/>
      <c r="J17" s="11" t="n"/>
      <c r="K17" s="11" t="n"/>
      <c r="L17" s="12" t="n"/>
      <c r="M17" s="12" t="n"/>
      <c r="N17" s="11" t="n"/>
    </row>
    <row r="18">
      <c r="A18" s="10" t="n"/>
      <c r="B18" s="11" t="n"/>
      <c r="C18" s="12" t="n"/>
      <c r="D18" s="11" t="n"/>
      <c r="E18" s="13">
        <f>IF($A18="","",IFERROR(TEXTJOIN(CHAR(10),TRUE,FILTER('Learning Objectives'!$D$2:$D$500,'Learning Objectives'!$A$2:$A$500="13–16 Years",'Learning Objectives'!$B$2:$B$500=$A18)),""))</f>
        <v/>
      </c>
      <c r="F18" s="11" t="n"/>
      <c r="G18" s="12" t="n"/>
      <c r="H18" s="12" t="n"/>
      <c r="I18" s="11" t="n"/>
      <c r="J18" s="11" t="n"/>
      <c r="K18" s="11" t="n"/>
      <c r="L18" s="12" t="n"/>
      <c r="M18" s="12" t="n"/>
      <c r="N18" s="11" t="n"/>
    </row>
    <row r="19">
      <c r="A19" s="10" t="n"/>
      <c r="B19" s="11" t="n"/>
      <c r="C19" s="12" t="n"/>
      <c r="D19" s="11" t="n"/>
      <c r="E19" s="13">
        <f>IF($A19="","",IFERROR(TEXTJOIN(CHAR(10),TRUE,FILTER('Learning Objectives'!$D$2:$D$500,'Learning Objectives'!$A$2:$A$500="13–16 Years",'Learning Objectives'!$B$2:$B$500=$A19)),""))</f>
        <v/>
      </c>
      <c r="F19" s="11" t="n"/>
      <c r="G19" s="12" t="n"/>
      <c r="H19" s="12" t="n"/>
      <c r="I19" s="11" t="n"/>
      <c r="J19" s="11" t="n"/>
      <c r="K19" s="11" t="n"/>
      <c r="L19" s="12" t="n"/>
      <c r="M19" s="12" t="n"/>
      <c r="N19" s="11" t="n"/>
    </row>
    <row r="20">
      <c r="A20" s="10" t="n"/>
      <c r="B20" s="11" t="n"/>
      <c r="C20" s="12" t="n"/>
      <c r="D20" s="11" t="n"/>
      <c r="E20" s="13">
        <f>IF($A20="","",IFERROR(TEXTJOIN(CHAR(10),TRUE,FILTER('Learning Objectives'!$D$2:$D$500,'Learning Objectives'!$A$2:$A$500="13–16 Years",'Learning Objectives'!$B$2:$B$500=$A20)),""))</f>
        <v/>
      </c>
      <c r="F20" s="11" t="n"/>
      <c r="G20" s="12" t="n"/>
      <c r="H20" s="12" t="n"/>
      <c r="I20" s="11" t="n"/>
      <c r="J20" s="11" t="n"/>
      <c r="K20" s="11" t="n"/>
      <c r="L20" s="12" t="n"/>
      <c r="M20" s="12" t="n"/>
      <c r="N20" s="11" t="n"/>
    </row>
    <row r="21">
      <c r="A21" s="10" t="n"/>
      <c r="B21" s="11" t="n"/>
      <c r="C21" s="12" t="n"/>
      <c r="D21" s="11" t="n"/>
      <c r="E21" s="13">
        <f>IF($A21="","",IFERROR(TEXTJOIN(CHAR(10),TRUE,FILTER('Learning Objectives'!$D$2:$D$500,'Learning Objectives'!$A$2:$A$500="13–16 Years",'Learning Objectives'!$B$2:$B$500=$A21)),""))</f>
        <v/>
      </c>
      <c r="F21" s="11" t="n"/>
      <c r="G21" s="12" t="n"/>
      <c r="H21" s="12" t="n"/>
      <c r="I21" s="11" t="n"/>
      <c r="J21" s="11" t="n"/>
      <c r="K21" s="11" t="n"/>
      <c r="L21" s="12" t="n"/>
      <c r="M21" s="12" t="n"/>
      <c r="N21" s="11" t="n"/>
    </row>
    <row r="22">
      <c r="A22" s="10" t="n"/>
      <c r="B22" s="11" t="n"/>
      <c r="C22" s="12" t="n"/>
      <c r="D22" s="11" t="n"/>
      <c r="E22" s="13">
        <f>IF($A22="","",IFERROR(TEXTJOIN(CHAR(10),TRUE,FILTER('Learning Objectives'!$D$2:$D$500,'Learning Objectives'!$A$2:$A$500="13–16 Years",'Learning Objectives'!$B$2:$B$500=$A22)),""))</f>
        <v/>
      </c>
      <c r="F22" s="11" t="n"/>
      <c r="G22" s="12" t="n"/>
      <c r="H22" s="12" t="n"/>
      <c r="I22" s="11" t="n"/>
      <c r="J22" s="11" t="n"/>
      <c r="K22" s="11" t="n"/>
      <c r="L22" s="12" t="n"/>
      <c r="M22" s="12" t="n"/>
      <c r="N22" s="11" t="n"/>
    </row>
    <row r="23">
      <c r="A23" s="10" t="n"/>
      <c r="B23" s="11" t="n"/>
      <c r="C23" s="12" t="n"/>
      <c r="D23" s="11" t="n"/>
      <c r="E23" s="13">
        <f>IF($A23="","",IFERROR(TEXTJOIN(CHAR(10),TRUE,FILTER('Learning Objectives'!$D$2:$D$500,'Learning Objectives'!$A$2:$A$500="13–16 Years",'Learning Objectives'!$B$2:$B$500=$A23)),""))</f>
        <v/>
      </c>
      <c r="F23" s="11" t="n"/>
      <c r="G23" s="12" t="n"/>
      <c r="H23" s="12" t="n"/>
      <c r="I23" s="11" t="n"/>
      <c r="J23" s="11" t="n"/>
      <c r="K23" s="11" t="n"/>
      <c r="L23" s="12" t="n"/>
      <c r="M23" s="12" t="n"/>
      <c r="N23" s="11" t="n"/>
    </row>
    <row r="24">
      <c r="A24" s="10" t="n"/>
      <c r="B24" s="11" t="n"/>
      <c r="C24" s="12" t="n"/>
      <c r="D24" s="11" t="n"/>
      <c r="E24" s="13">
        <f>IF($A24="","",IFERROR(TEXTJOIN(CHAR(10),TRUE,FILTER('Learning Objectives'!$D$2:$D$500,'Learning Objectives'!$A$2:$A$500="13–16 Years",'Learning Objectives'!$B$2:$B$500=$A24)),""))</f>
        <v/>
      </c>
      <c r="F24" s="11" t="n"/>
      <c r="G24" s="12" t="n"/>
      <c r="H24" s="12" t="n"/>
      <c r="I24" s="11" t="n"/>
      <c r="J24" s="11" t="n"/>
      <c r="K24" s="11" t="n"/>
      <c r="L24" s="12" t="n"/>
      <c r="M24" s="12" t="n"/>
      <c r="N24" s="11" t="n"/>
    </row>
    <row r="25">
      <c r="A25" s="10" t="n"/>
      <c r="B25" s="11" t="n"/>
      <c r="C25" s="12" t="n"/>
      <c r="D25" s="11" t="n"/>
      <c r="E25" s="13">
        <f>IF($A25="","",IFERROR(TEXTJOIN(CHAR(10),TRUE,FILTER('Learning Objectives'!$D$2:$D$500,'Learning Objectives'!$A$2:$A$500="13–16 Years",'Learning Objectives'!$B$2:$B$500=$A25)),""))</f>
        <v/>
      </c>
      <c r="F25" s="11" t="n"/>
      <c r="G25" s="12" t="n"/>
      <c r="H25" s="12" t="n"/>
      <c r="I25" s="11" t="n"/>
      <c r="J25" s="11" t="n"/>
      <c r="K25" s="11" t="n"/>
      <c r="L25" s="12" t="n"/>
      <c r="M25" s="12" t="n"/>
      <c r="N25" s="11" t="n"/>
    </row>
    <row r="26">
      <c r="A26" s="10" t="n"/>
      <c r="B26" s="11" t="n"/>
      <c r="C26" s="12" t="n"/>
      <c r="D26" s="11" t="n"/>
      <c r="E26" s="13">
        <f>IF($A26="","",IFERROR(TEXTJOIN(CHAR(10),TRUE,FILTER('Learning Objectives'!$D$2:$D$500,'Learning Objectives'!$A$2:$A$500="13–16 Years",'Learning Objectives'!$B$2:$B$500=$A26)),""))</f>
        <v/>
      </c>
      <c r="F26" s="11" t="n"/>
      <c r="G26" s="12" t="n"/>
      <c r="H26" s="12" t="n"/>
      <c r="I26" s="11" t="n"/>
      <c r="J26" s="11" t="n"/>
      <c r="K26" s="11" t="n"/>
      <c r="L26" s="12" t="n"/>
      <c r="M26" s="12" t="n"/>
      <c r="N26" s="11" t="n"/>
    </row>
    <row r="27">
      <c r="A27" s="10" t="n"/>
      <c r="B27" s="11" t="n"/>
      <c r="C27" s="12" t="n"/>
      <c r="D27" s="11" t="n"/>
      <c r="E27" s="13">
        <f>IF($A27="","",IFERROR(TEXTJOIN(CHAR(10),TRUE,FILTER('Learning Objectives'!$D$2:$D$500,'Learning Objectives'!$A$2:$A$500="13–16 Years",'Learning Objectives'!$B$2:$B$500=$A27)),""))</f>
        <v/>
      </c>
      <c r="F27" s="11" t="n"/>
      <c r="G27" s="12" t="n"/>
      <c r="H27" s="12" t="n"/>
      <c r="I27" s="11" t="n"/>
      <c r="J27" s="11" t="n"/>
      <c r="K27" s="11" t="n"/>
      <c r="L27" s="12" t="n"/>
      <c r="M27" s="12" t="n"/>
      <c r="N27" s="11" t="n"/>
    </row>
    <row r="28">
      <c r="A28" s="10" t="n"/>
      <c r="B28" s="11" t="n"/>
      <c r="C28" s="12" t="n"/>
      <c r="D28" s="11" t="n"/>
      <c r="E28" s="13">
        <f>IF($A28="","",IFERROR(TEXTJOIN(CHAR(10),TRUE,FILTER('Learning Objectives'!$D$2:$D$500,'Learning Objectives'!$A$2:$A$500="13–16 Years",'Learning Objectives'!$B$2:$B$500=$A28)),""))</f>
        <v/>
      </c>
      <c r="F28" s="11" t="n"/>
      <c r="G28" s="12" t="n"/>
      <c r="H28" s="12" t="n"/>
      <c r="I28" s="11" t="n"/>
      <c r="J28" s="11" t="n"/>
      <c r="K28" s="11" t="n"/>
      <c r="L28" s="12" t="n"/>
      <c r="M28" s="12" t="n"/>
      <c r="N28" s="11" t="n"/>
    </row>
    <row r="29">
      <c r="A29" s="10" t="n"/>
      <c r="B29" s="11" t="n"/>
      <c r="C29" s="12" t="n"/>
      <c r="D29" s="11" t="n"/>
      <c r="E29" s="13">
        <f>IF($A29="","",IFERROR(TEXTJOIN(CHAR(10),TRUE,FILTER('Learning Objectives'!$D$2:$D$500,'Learning Objectives'!$A$2:$A$500="13–16 Years",'Learning Objectives'!$B$2:$B$500=$A29)),""))</f>
        <v/>
      </c>
      <c r="F29" s="11" t="n"/>
      <c r="G29" s="12" t="n"/>
      <c r="H29" s="12" t="n"/>
      <c r="I29" s="11" t="n"/>
      <c r="J29" s="11" t="n"/>
      <c r="K29" s="11" t="n"/>
      <c r="L29" s="12" t="n"/>
      <c r="M29" s="12" t="n"/>
      <c r="N29" s="11" t="n"/>
    </row>
    <row r="30">
      <c r="A30" s="10" t="n"/>
      <c r="B30" s="11" t="n"/>
      <c r="C30" s="12" t="n"/>
      <c r="D30" s="11" t="n"/>
      <c r="E30" s="13">
        <f>IF($A30="","",IFERROR(TEXTJOIN(CHAR(10),TRUE,FILTER('Learning Objectives'!$D$2:$D$500,'Learning Objectives'!$A$2:$A$500="13–16 Years",'Learning Objectives'!$B$2:$B$500=$A30)),""))</f>
        <v/>
      </c>
      <c r="F30" s="11" t="n"/>
      <c r="G30" s="12" t="n"/>
      <c r="H30" s="12" t="n"/>
      <c r="I30" s="11" t="n"/>
      <c r="J30" s="11" t="n"/>
      <c r="K30" s="11" t="n"/>
      <c r="L30" s="12" t="n"/>
      <c r="M30" s="12" t="n"/>
      <c r="N30" s="11" t="n"/>
    </row>
    <row r="31">
      <c r="A31" s="10" t="n"/>
      <c r="B31" s="11" t="n"/>
      <c r="C31" s="12" t="n"/>
      <c r="D31" s="11" t="n"/>
      <c r="E31" s="13">
        <f>IF($A31="","",IFERROR(TEXTJOIN(CHAR(10),TRUE,FILTER('Learning Objectives'!$D$2:$D$500,'Learning Objectives'!$A$2:$A$500="13–16 Years",'Learning Objectives'!$B$2:$B$500=$A31)),""))</f>
        <v/>
      </c>
      <c r="F31" s="11" t="n"/>
      <c r="G31" s="12" t="n"/>
      <c r="H31" s="12" t="n"/>
      <c r="I31" s="11" t="n"/>
      <c r="J31" s="11" t="n"/>
      <c r="K31" s="11" t="n"/>
      <c r="L31" s="12" t="n"/>
      <c r="M31" s="12" t="n"/>
      <c r="N31" s="11" t="n"/>
    </row>
    <row r="32">
      <c r="A32" s="10" t="n"/>
      <c r="B32" s="11" t="n"/>
      <c r="C32" s="12" t="n"/>
      <c r="D32" s="11" t="n"/>
      <c r="E32" s="13">
        <f>IF($A32="","",IFERROR(TEXTJOIN(CHAR(10),TRUE,FILTER('Learning Objectives'!$D$2:$D$500,'Learning Objectives'!$A$2:$A$500="13–16 Years",'Learning Objectives'!$B$2:$B$500=$A32)),""))</f>
        <v/>
      </c>
      <c r="F32" s="11" t="n"/>
      <c r="G32" s="12" t="n"/>
      <c r="H32" s="12" t="n"/>
      <c r="I32" s="11" t="n"/>
      <c r="J32" s="11" t="n"/>
      <c r="K32" s="11" t="n"/>
      <c r="L32" s="12" t="n"/>
      <c r="M32" s="12" t="n"/>
      <c r="N32" s="11" t="n"/>
    </row>
    <row r="33">
      <c r="A33" s="10" t="n"/>
      <c r="B33" s="11" t="n"/>
      <c r="C33" s="12" t="n"/>
      <c r="D33" s="11" t="n"/>
      <c r="E33" s="13">
        <f>IF($A33="","",IFERROR(TEXTJOIN(CHAR(10),TRUE,FILTER('Learning Objectives'!$D$2:$D$500,'Learning Objectives'!$A$2:$A$500="13–16 Years",'Learning Objectives'!$B$2:$B$500=$A33)),""))</f>
        <v/>
      </c>
      <c r="F33" s="11" t="n"/>
      <c r="G33" s="12" t="n"/>
      <c r="H33" s="12" t="n"/>
      <c r="I33" s="11" t="n"/>
      <c r="J33" s="11" t="n"/>
      <c r="K33" s="11" t="n"/>
      <c r="L33" s="12" t="n"/>
      <c r="M33" s="12" t="n"/>
      <c r="N33" s="11" t="n"/>
    </row>
    <row r="34">
      <c r="A34" s="10" t="n"/>
      <c r="B34" s="11" t="n"/>
      <c r="C34" s="12" t="n"/>
      <c r="D34" s="11" t="n"/>
      <c r="E34" s="13">
        <f>IF($A34="","",IFERROR(TEXTJOIN(CHAR(10),TRUE,FILTER('Learning Objectives'!$D$2:$D$500,'Learning Objectives'!$A$2:$A$500="13–16 Years",'Learning Objectives'!$B$2:$B$500=$A34)),""))</f>
        <v/>
      </c>
      <c r="F34" s="11" t="n"/>
      <c r="G34" s="12" t="n"/>
      <c r="H34" s="12" t="n"/>
      <c r="I34" s="11" t="n"/>
      <c r="J34" s="11" t="n"/>
      <c r="K34" s="11" t="n"/>
      <c r="L34" s="12" t="n"/>
      <c r="M34" s="12" t="n"/>
      <c r="N34" s="11" t="n"/>
    </row>
    <row r="35">
      <c r="A35" s="10" t="n"/>
      <c r="B35" s="11" t="n"/>
      <c r="C35" s="12" t="n"/>
      <c r="D35" s="11" t="n"/>
      <c r="E35" s="13">
        <f>IF($A35="","",IFERROR(TEXTJOIN(CHAR(10),TRUE,FILTER('Learning Objectives'!$D$2:$D$500,'Learning Objectives'!$A$2:$A$500="13–16 Years",'Learning Objectives'!$B$2:$B$500=$A35)),""))</f>
        <v/>
      </c>
      <c r="F35" s="11" t="n"/>
      <c r="G35" s="12" t="n"/>
      <c r="H35" s="12" t="n"/>
      <c r="I35" s="11" t="n"/>
      <c r="J35" s="11" t="n"/>
      <c r="K35" s="11" t="n"/>
      <c r="L35" s="12" t="n"/>
      <c r="M35" s="12" t="n"/>
      <c r="N35" s="11" t="n"/>
    </row>
    <row r="36">
      <c r="A36" s="10" t="n"/>
      <c r="B36" s="11" t="n"/>
      <c r="C36" s="12" t="n"/>
      <c r="D36" s="11" t="n"/>
      <c r="E36" s="13">
        <f>IF($A36="","",IFERROR(TEXTJOIN(CHAR(10),TRUE,FILTER('Learning Objectives'!$D$2:$D$500,'Learning Objectives'!$A$2:$A$500="13–16 Years",'Learning Objectives'!$B$2:$B$500=$A36)),""))</f>
        <v/>
      </c>
      <c r="F36" s="11" t="n"/>
      <c r="G36" s="12" t="n"/>
      <c r="H36" s="12" t="n"/>
      <c r="I36" s="11" t="n"/>
      <c r="J36" s="11" t="n"/>
      <c r="K36" s="11" t="n"/>
      <c r="L36" s="12" t="n"/>
      <c r="M36" s="12" t="n"/>
      <c r="N36" s="11" t="n"/>
    </row>
    <row r="37">
      <c r="A37" s="10" t="n"/>
      <c r="B37" s="11" t="n"/>
      <c r="C37" s="12" t="n"/>
      <c r="D37" s="11" t="n"/>
      <c r="E37" s="13">
        <f>IF($A37="","",IFERROR(TEXTJOIN(CHAR(10),TRUE,FILTER('Learning Objectives'!$D$2:$D$500,'Learning Objectives'!$A$2:$A$500="13–16 Years",'Learning Objectives'!$B$2:$B$500=$A37)),""))</f>
        <v/>
      </c>
      <c r="F37" s="11" t="n"/>
      <c r="G37" s="12" t="n"/>
      <c r="H37" s="12" t="n"/>
      <c r="I37" s="11" t="n"/>
      <c r="J37" s="11" t="n"/>
      <c r="K37" s="11" t="n"/>
      <c r="L37" s="12" t="n"/>
      <c r="M37" s="12" t="n"/>
      <c r="N37" s="11" t="n"/>
    </row>
    <row r="38">
      <c r="A38" s="10" t="n"/>
      <c r="B38" s="11" t="n"/>
      <c r="C38" s="12" t="n"/>
      <c r="D38" s="11" t="n"/>
      <c r="E38" s="13">
        <f>IF($A38="","",IFERROR(TEXTJOIN(CHAR(10),TRUE,FILTER('Learning Objectives'!$D$2:$D$500,'Learning Objectives'!$A$2:$A$500="13–16 Years",'Learning Objectives'!$B$2:$B$500=$A38)),""))</f>
        <v/>
      </c>
      <c r="F38" s="11" t="n"/>
      <c r="G38" s="12" t="n"/>
      <c r="H38" s="12" t="n"/>
      <c r="I38" s="11" t="n"/>
      <c r="J38" s="11" t="n"/>
      <c r="K38" s="11" t="n"/>
      <c r="L38" s="12" t="n"/>
      <c r="M38" s="12" t="n"/>
      <c r="N38" s="11" t="n"/>
    </row>
    <row r="39">
      <c r="A39" s="10" t="n"/>
      <c r="B39" s="11" t="n"/>
      <c r="C39" s="12" t="n"/>
      <c r="D39" s="11" t="n"/>
      <c r="E39" s="13">
        <f>IF($A39="","",IFERROR(TEXTJOIN(CHAR(10),TRUE,FILTER('Learning Objectives'!$D$2:$D$500,'Learning Objectives'!$A$2:$A$500="13–16 Years",'Learning Objectives'!$B$2:$B$500=$A39)),""))</f>
        <v/>
      </c>
      <c r="F39" s="11" t="n"/>
      <c r="G39" s="12" t="n"/>
      <c r="H39" s="12" t="n"/>
      <c r="I39" s="11" t="n"/>
      <c r="J39" s="11" t="n"/>
      <c r="K39" s="11" t="n"/>
      <c r="L39" s="12" t="n"/>
      <c r="M39" s="12" t="n"/>
      <c r="N39" s="11" t="n"/>
    </row>
    <row r="40">
      <c r="A40" s="10" t="n"/>
      <c r="B40" s="11" t="n"/>
      <c r="C40" s="12" t="n"/>
      <c r="D40" s="11" t="n"/>
      <c r="E40" s="13">
        <f>IF($A40="","",IFERROR(TEXTJOIN(CHAR(10),TRUE,FILTER('Learning Objectives'!$D$2:$D$500,'Learning Objectives'!$A$2:$A$500="13–16 Years",'Learning Objectives'!$B$2:$B$500=$A40)),""))</f>
        <v/>
      </c>
      <c r="F40" s="11" t="n"/>
      <c r="G40" s="12" t="n"/>
      <c r="H40" s="12" t="n"/>
      <c r="I40" s="11" t="n"/>
      <c r="J40" s="11" t="n"/>
      <c r="K40" s="11" t="n"/>
      <c r="L40" s="12" t="n"/>
      <c r="M40" s="12" t="n"/>
      <c r="N40" s="11" t="n"/>
    </row>
    <row r="41">
      <c r="A41" s="10" t="n"/>
      <c r="B41" s="11" t="n"/>
      <c r="C41" s="12" t="n"/>
      <c r="D41" s="11" t="n"/>
      <c r="E41" s="13">
        <f>IF($A41="","",IFERROR(TEXTJOIN(CHAR(10),TRUE,FILTER('Learning Objectives'!$D$2:$D$500,'Learning Objectives'!$A$2:$A$500="13–16 Years",'Learning Objectives'!$B$2:$B$500=$A41)),""))</f>
        <v/>
      </c>
      <c r="F41" s="11" t="n"/>
      <c r="G41" s="12" t="n"/>
      <c r="H41" s="12" t="n"/>
      <c r="I41" s="11" t="n"/>
      <c r="J41" s="11" t="n"/>
      <c r="K41" s="11" t="n"/>
      <c r="L41" s="12" t="n"/>
      <c r="M41" s="12" t="n"/>
      <c r="N41" s="11" t="n"/>
    </row>
    <row r="42">
      <c r="A42" s="10" t="n"/>
      <c r="B42" s="11" t="n"/>
      <c r="C42" s="12" t="n"/>
      <c r="D42" s="11" t="n"/>
      <c r="E42" s="13">
        <f>IF($A42="","",IFERROR(TEXTJOIN(CHAR(10),TRUE,FILTER('Learning Objectives'!$D$2:$D$500,'Learning Objectives'!$A$2:$A$500="13–16 Years",'Learning Objectives'!$B$2:$B$500=$A42)),""))</f>
        <v/>
      </c>
      <c r="F42" s="11" t="n"/>
      <c r="G42" s="12" t="n"/>
      <c r="H42" s="12" t="n"/>
      <c r="I42" s="11" t="n"/>
      <c r="J42" s="11" t="n"/>
      <c r="K42" s="11" t="n"/>
      <c r="L42" s="12" t="n"/>
      <c r="M42" s="12" t="n"/>
      <c r="N42" s="11" t="n"/>
    </row>
    <row r="43">
      <c r="A43" s="10" t="n"/>
      <c r="B43" s="11" t="n"/>
      <c r="C43" s="12" t="n"/>
      <c r="D43" s="11" t="n"/>
      <c r="E43" s="13">
        <f>IF($A43="","",IFERROR(TEXTJOIN(CHAR(10),TRUE,FILTER('Learning Objectives'!$D$2:$D$500,'Learning Objectives'!$A$2:$A$500="13–16 Years",'Learning Objectives'!$B$2:$B$500=$A43)),""))</f>
        <v/>
      </c>
      <c r="F43" s="11" t="n"/>
      <c r="G43" s="12" t="n"/>
      <c r="H43" s="12" t="n"/>
      <c r="I43" s="11" t="n"/>
      <c r="J43" s="11" t="n"/>
      <c r="K43" s="11" t="n"/>
      <c r="L43" s="12" t="n"/>
      <c r="M43" s="12" t="n"/>
      <c r="N43" s="11" t="n"/>
    </row>
    <row r="44">
      <c r="A44" s="10" t="n"/>
      <c r="B44" s="11" t="n"/>
      <c r="C44" s="12" t="n"/>
      <c r="D44" s="11" t="n"/>
      <c r="E44" s="13">
        <f>IF($A44="","",IFERROR(TEXTJOIN(CHAR(10),TRUE,FILTER('Learning Objectives'!$D$2:$D$500,'Learning Objectives'!$A$2:$A$500="13–16 Years",'Learning Objectives'!$B$2:$B$500=$A44)),""))</f>
        <v/>
      </c>
      <c r="F44" s="11" t="n"/>
      <c r="G44" s="12" t="n"/>
      <c r="H44" s="12" t="n"/>
      <c r="I44" s="11" t="n"/>
      <c r="J44" s="11" t="n"/>
      <c r="K44" s="11" t="n"/>
      <c r="L44" s="12" t="n"/>
      <c r="M44" s="12" t="n"/>
      <c r="N44" s="11" t="n"/>
    </row>
    <row r="45">
      <c r="A45" s="10" t="n"/>
      <c r="B45" s="11" t="n"/>
      <c r="C45" s="12" t="n"/>
      <c r="D45" s="11" t="n"/>
      <c r="E45" s="13">
        <f>IF($A45="","",IFERROR(TEXTJOIN(CHAR(10),TRUE,FILTER('Learning Objectives'!$D$2:$D$500,'Learning Objectives'!$A$2:$A$500="13–16 Years",'Learning Objectives'!$B$2:$B$500=$A45)),""))</f>
        <v/>
      </c>
      <c r="F45" s="11" t="n"/>
      <c r="G45" s="12" t="n"/>
      <c r="H45" s="12" t="n"/>
      <c r="I45" s="11" t="n"/>
      <c r="J45" s="11" t="n"/>
      <c r="K45" s="11" t="n"/>
      <c r="L45" s="12" t="n"/>
      <c r="M45" s="12" t="n"/>
      <c r="N45" s="11" t="n"/>
    </row>
    <row r="46">
      <c r="A46" s="10" t="n"/>
      <c r="B46" s="11" t="n"/>
      <c r="C46" s="12" t="n"/>
      <c r="D46" s="11" t="n"/>
      <c r="E46" s="13">
        <f>IF($A46="","",IFERROR(TEXTJOIN(CHAR(10),TRUE,FILTER('Learning Objectives'!$D$2:$D$500,'Learning Objectives'!$A$2:$A$500="13–16 Years",'Learning Objectives'!$B$2:$B$500=$A46)),""))</f>
        <v/>
      </c>
      <c r="F46" s="11" t="n"/>
      <c r="G46" s="12" t="n"/>
      <c r="H46" s="12" t="n"/>
      <c r="I46" s="11" t="n"/>
      <c r="J46" s="11" t="n"/>
      <c r="K46" s="11" t="n"/>
      <c r="L46" s="12" t="n"/>
      <c r="M46" s="12" t="n"/>
      <c r="N46" s="11" t="n"/>
    </row>
    <row r="47">
      <c r="A47" s="10" t="n"/>
      <c r="B47" s="11" t="n"/>
      <c r="C47" s="12" t="n"/>
      <c r="D47" s="11" t="n"/>
      <c r="E47" s="13">
        <f>IF($A47="","",IFERROR(TEXTJOIN(CHAR(10),TRUE,FILTER('Learning Objectives'!$D$2:$D$500,'Learning Objectives'!$A$2:$A$500="13–16 Years",'Learning Objectives'!$B$2:$B$500=$A47)),""))</f>
        <v/>
      </c>
      <c r="F47" s="11" t="n"/>
      <c r="G47" s="12" t="n"/>
      <c r="H47" s="12" t="n"/>
      <c r="I47" s="11" t="n"/>
      <c r="J47" s="11" t="n"/>
      <c r="K47" s="11" t="n"/>
      <c r="L47" s="12" t="n"/>
      <c r="M47" s="12" t="n"/>
      <c r="N47" s="11" t="n"/>
    </row>
    <row r="48">
      <c r="A48" s="10" t="n"/>
      <c r="B48" s="11" t="n"/>
      <c r="C48" s="12" t="n"/>
      <c r="D48" s="11" t="n"/>
      <c r="E48" s="13">
        <f>IF($A48="","",IFERROR(TEXTJOIN(CHAR(10),TRUE,FILTER('Learning Objectives'!$D$2:$D$500,'Learning Objectives'!$A$2:$A$500="13–16 Years",'Learning Objectives'!$B$2:$B$500=$A48)),""))</f>
        <v/>
      </c>
      <c r="F48" s="11" t="n"/>
      <c r="G48" s="12" t="n"/>
      <c r="H48" s="12" t="n"/>
      <c r="I48" s="11" t="n"/>
      <c r="J48" s="11" t="n"/>
      <c r="K48" s="11" t="n"/>
      <c r="L48" s="12" t="n"/>
      <c r="M48" s="12" t="n"/>
      <c r="N48" s="11" t="n"/>
    </row>
    <row r="49">
      <c r="A49" s="10" t="n"/>
      <c r="B49" s="11" t="n"/>
      <c r="C49" s="12" t="n"/>
      <c r="D49" s="11" t="n"/>
      <c r="E49" s="13">
        <f>IF($A49="","",IFERROR(TEXTJOIN(CHAR(10),TRUE,FILTER('Learning Objectives'!$D$2:$D$500,'Learning Objectives'!$A$2:$A$500="13–16 Years",'Learning Objectives'!$B$2:$B$500=$A49)),""))</f>
        <v/>
      </c>
      <c r="F49" s="11" t="n"/>
      <c r="G49" s="12" t="n"/>
      <c r="H49" s="12" t="n"/>
      <c r="I49" s="11" t="n"/>
      <c r="J49" s="11" t="n"/>
      <c r="K49" s="11" t="n"/>
      <c r="L49" s="12" t="n"/>
      <c r="M49" s="12" t="n"/>
      <c r="N49" s="11" t="n"/>
    </row>
    <row r="50">
      <c r="A50" s="10" t="n"/>
      <c r="B50" s="11" t="n"/>
      <c r="C50" s="12" t="n"/>
      <c r="D50" s="11" t="n"/>
      <c r="E50" s="13">
        <f>IF($A50="","",IFERROR(TEXTJOIN(CHAR(10),TRUE,FILTER('Learning Objectives'!$D$2:$D$500,'Learning Objectives'!$A$2:$A$500="13–16 Years",'Learning Objectives'!$B$2:$B$500=$A50)),""))</f>
        <v/>
      </c>
      <c r="F50" s="11" t="n"/>
      <c r="G50" s="12" t="n"/>
      <c r="H50" s="12" t="n"/>
      <c r="I50" s="11" t="n"/>
      <c r="J50" s="11" t="n"/>
      <c r="K50" s="11" t="n"/>
      <c r="L50" s="12" t="n"/>
      <c r="M50" s="12" t="n"/>
      <c r="N50" s="11" t="n"/>
    </row>
    <row r="51">
      <c r="A51" s="10" t="n"/>
      <c r="B51" s="11" t="n"/>
      <c r="C51" s="12" t="n"/>
      <c r="D51" s="11" t="n"/>
      <c r="E51" s="13">
        <f>IF($A51="","",IFERROR(TEXTJOIN(CHAR(10),TRUE,FILTER('Learning Objectives'!$D$2:$D$500,'Learning Objectives'!$A$2:$A$500="13–16 Years",'Learning Objectives'!$B$2:$B$500=$A51)),""))</f>
        <v/>
      </c>
      <c r="F51" s="11" t="n"/>
      <c r="G51" s="12" t="n"/>
      <c r="H51" s="12" t="n"/>
      <c r="I51" s="11" t="n"/>
      <c r="J51" s="11" t="n"/>
      <c r="K51" s="11" t="n"/>
      <c r="L51" s="12" t="n"/>
      <c r="M51" s="12" t="n"/>
      <c r="N51" s="11" t="n"/>
    </row>
    <row r="52">
      <c r="A52" s="10" t="n"/>
      <c r="B52" s="11" t="n"/>
      <c r="C52" s="12" t="n"/>
      <c r="D52" s="11" t="n"/>
      <c r="E52" s="13">
        <f>IF($A52="","",IFERROR(TEXTJOIN(CHAR(10),TRUE,FILTER('Learning Objectives'!$D$2:$D$500,'Learning Objectives'!$A$2:$A$500="13–16 Years",'Learning Objectives'!$B$2:$B$500=$A52)),""))</f>
        <v/>
      </c>
      <c r="F52" s="11" t="n"/>
      <c r="G52" s="12" t="n"/>
      <c r="H52" s="12" t="n"/>
      <c r="I52" s="11" t="n"/>
      <c r="J52" s="11" t="n"/>
      <c r="K52" s="11" t="n"/>
      <c r="L52" s="12" t="n"/>
      <c r="M52" s="12" t="n"/>
      <c r="N52" s="11" t="n"/>
    </row>
    <row r="53">
      <c r="A53" s="10" t="n"/>
      <c r="B53" s="11" t="n"/>
      <c r="C53" s="12" t="n"/>
      <c r="D53" s="11" t="n"/>
      <c r="E53" s="13">
        <f>IF($A53="","",IFERROR(TEXTJOIN(CHAR(10),TRUE,FILTER('Learning Objectives'!$D$2:$D$500,'Learning Objectives'!$A$2:$A$500="13–16 Years",'Learning Objectives'!$B$2:$B$500=$A53)),""))</f>
        <v/>
      </c>
      <c r="F53" s="11" t="n"/>
      <c r="G53" s="12" t="n"/>
      <c r="H53" s="12" t="n"/>
      <c r="I53" s="11" t="n"/>
      <c r="J53" s="11" t="n"/>
      <c r="K53" s="11" t="n"/>
      <c r="L53" s="12" t="n"/>
      <c r="M53" s="12" t="n"/>
      <c r="N53" s="11" t="n"/>
    </row>
    <row r="54">
      <c r="A54" s="10" t="n"/>
      <c r="B54" s="11" t="n"/>
      <c r="C54" s="12" t="n"/>
      <c r="D54" s="11" t="n"/>
      <c r="E54" s="13">
        <f>IF($A54="","",IFERROR(TEXTJOIN(CHAR(10),TRUE,FILTER('Learning Objectives'!$D$2:$D$500,'Learning Objectives'!$A$2:$A$500="13–16 Years",'Learning Objectives'!$B$2:$B$500=$A54)),""))</f>
        <v/>
      </c>
      <c r="F54" s="11" t="n"/>
      <c r="G54" s="12" t="n"/>
      <c r="H54" s="12" t="n"/>
      <c r="I54" s="11" t="n"/>
      <c r="J54" s="11" t="n"/>
      <c r="K54" s="11" t="n"/>
      <c r="L54" s="12" t="n"/>
      <c r="M54" s="12" t="n"/>
      <c r="N54" s="11" t="n"/>
    </row>
    <row r="55">
      <c r="A55" s="10" t="n"/>
      <c r="B55" s="11" t="n"/>
      <c r="C55" s="12" t="n"/>
      <c r="D55" s="11" t="n"/>
      <c r="E55" s="13">
        <f>IF($A55="","",IFERROR(TEXTJOIN(CHAR(10),TRUE,FILTER('Learning Objectives'!$D$2:$D$500,'Learning Objectives'!$A$2:$A$500="13–16 Years",'Learning Objectives'!$B$2:$B$500=$A55)),""))</f>
        <v/>
      </c>
      <c r="F55" s="11" t="n"/>
      <c r="G55" s="12" t="n"/>
      <c r="H55" s="12" t="n"/>
      <c r="I55" s="11" t="n"/>
      <c r="J55" s="11" t="n"/>
      <c r="K55" s="11" t="n"/>
      <c r="L55" s="12" t="n"/>
      <c r="M55" s="12" t="n"/>
      <c r="N55" s="11" t="n"/>
    </row>
    <row r="56">
      <c r="A56" s="10" t="n"/>
      <c r="B56" s="11" t="n"/>
      <c r="C56" s="12" t="n"/>
      <c r="D56" s="11" t="n"/>
      <c r="E56" s="13">
        <f>IF($A56="","",IFERROR(TEXTJOIN(CHAR(10),TRUE,FILTER('Learning Objectives'!$D$2:$D$500,'Learning Objectives'!$A$2:$A$500="13–16 Years",'Learning Objectives'!$B$2:$B$500=$A56)),""))</f>
        <v/>
      </c>
      <c r="F56" s="11" t="n"/>
      <c r="G56" s="12" t="n"/>
      <c r="H56" s="12" t="n"/>
      <c r="I56" s="11" t="n"/>
      <c r="J56" s="11" t="n"/>
      <c r="K56" s="11" t="n"/>
      <c r="L56" s="12" t="n"/>
      <c r="M56" s="12" t="n"/>
      <c r="N56" s="11" t="n"/>
    </row>
    <row r="57">
      <c r="A57" s="10" t="n"/>
      <c r="B57" s="11" t="n"/>
      <c r="C57" s="12" t="n"/>
      <c r="D57" s="11" t="n"/>
      <c r="E57" s="13">
        <f>IF($A57="","",IFERROR(TEXTJOIN(CHAR(10),TRUE,FILTER('Learning Objectives'!$D$2:$D$500,'Learning Objectives'!$A$2:$A$500="13–16 Years",'Learning Objectives'!$B$2:$B$500=$A57)),""))</f>
        <v/>
      </c>
      <c r="F57" s="11" t="n"/>
      <c r="G57" s="12" t="n"/>
      <c r="H57" s="12" t="n"/>
      <c r="I57" s="11" t="n"/>
      <c r="J57" s="11" t="n"/>
      <c r="K57" s="11" t="n"/>
      <c r="L57" s="12" t="n"/>
      <c r="M57" s="12" t="n"/>
      <c r="N57" s="11" t="n"/>
    </row>
    <row r="58">
      <c r="A58" s="10" t="n"/>
      <c r="B58" s="11" t="n"/>
      <c r="C58" s="12" t="n"/>
      <c r="D58" s="11" t="n"/>
      <c r="E58" s="13">
        <f>IF($A58="","",IFERROR(TEXTJOIN(CHAR(10),TRUE,FILTER('Learning Objectives'!$D$2:$D$500,'Learning Objectives'!$A$2:$A$500="13–16 Years",'Learning Objectives'!$B$2:$B$500=$A58)),""))</f>
        <v/>
      </c>
      <c r="F58" s="11" t="n"/>
      <c r="G58" s="12" t="n"/>
      <c r="H58" s="12" t="n"/>
      <c r="I58" s="11" t="n"/>
      <c r="J58" s="11" t="n"/>
      <c r="K58" s="11" t="n"/>
      <c r="L58" s="12" t="n"/>
      <c r="M58" s="12" t="n"/>
      <c r="N58" s="11" t="n"/>
    </row>
    <row r="59">
      <c r="A59" s="10" t="n"/>
      <c r="B59" s="11" t="n"/>
      <c r="C59" s="12" t="n"/>
      <c r="D59" s="11" t="n"/>
      <c r="E59" s="13">
        <f>IF($A59="","",IFERROR(TEXTJOIN(CHAR(10),TRUE,FILTER('Learning Objectives'!$D$2:$D$500,'Learning Objectives'!$A$2:$A$500="13–16 Years",'Learning Objectives'!$B$2:$B$500=$A59)),""))</f>
        <v/>
      </c>
      <c r="F59" s="11" t="n"/>
      <c r="G59" s="12" t="n"/>
      <c r="H59" s="12" t="n"/>
      <c r="I59" s="11" t="n"/>
      <c r="J59" s="11" t="n"/>
      <c r="K59" s="11" t="n"/>
      <c r="L59" s="12" t="n"/>
      <c r="M59" s="12" t="n"/>
      <c r="N59" s="11" t="n"/>
    </row>
    <row r="60">
      <c r="A60" s="10" t="n"/>
      <c r="B60" s="11" t="n"/>
      <c r="C60" s="12" t="n"/>
      <c r="D60" s="11" t="n"/>
      <c r="E60" s="13">
        <f>IF($A60="","",IFERROR(TEXTJOIN(CHAR(10),TRUE,FILTER('Learning Objectives'!$D$2:$D$500,'Learning Objectives'!$A$2:$A$500="13–16 Years",'Learning Objectives'!$B$2:$B$500=$A60)),""))</f>
        <v/>
      </c>
      <c r="F60" s="11" t="n"/>
      <c r="G60" s="12" t="n"/>
      <c r="H60" s="12" t="n"/>
      <c r="I60" s="11" t="n"/>
      <c r="J60" s="11" t="n"/>
      <c r="K60" s="11" t="n"/>
      <c r="L60" s="12" t="n"/>
      <c r="M60" s="12" t="n"/>
      <c r="N60" s="11" t="n"/>
    </row>
    <row r="61">
      <c r="A61" s="10" t="n"/>
      <c r="B61" s="11" t="n"/>
      <c r="C61" s="12" t="n"/>
      <c r="D61" s="11" t="n"/>
      <c r="E61" s="13">
        <f>IF($A61="","",IFERROR(TEXTJOIN(CHAR(10),TRUE,FILTER('Learning Objectives'!$D$2:$D$500,'Learning Objectives'!$A$2:$A$500="13–16 Years",'Learning Objectives'!$B$2:$B$500=$A61)),""))</f>
        <v/>
      </c>
      <c r="F61" s="11" t="n"/>
      <c r="G61" s="12" t="n"/>
      <c r="H61" s="12" t="n"/>
      <c r="I61" s="11" t="n"/>
      <c r="J61" s="11" t="n"/>
      <c r="K61" s="11" t="n"/>
      <c r="L61" s="12" t="n"/>
      <c r="M61" s="12" t="n"/>
      <c r="N61" s="11" t="n"/>
    </row>
    <row r="62">
      <c r="A62" s="10" t="n"/>
      <c r="B62" s="11" t="n"/>
      <c r="C62" s="12" t="n"/>
      <c r="D62" s="11" t="n"/>
      <c r="E62" s="13">
        <f>IF($A62="","",IFERROR(TEXTJOIN(CHAR(10),TRUE,FILTER('Learning Objectives'!$D$2:$D$500,'Learning Objectives'!$A$2:$A$500="13–16 Years",'Learning Objectives'!$B$2:$B$500=$A62)),""))</f>
        <v/>
      </c>
      <c r="F62" s="11" t="n"/>
      <c r="G62" s="12" t="n"/>
      <c r="H62" s="12" t="n"/>
      <c r="I62" s="11" t="n"/>
      <c r="J62" s="11" t="n"/>
      <c r="K62" s="11" t="n"/>
      <c r="L62" s="12" t="n"/>
      <c r="M62" s="12" t="n"/>
      <c r="N62" s="11" t="n"/>
    </row>
    <row r="63">
      <c r="A63" s="10" t="n"/>
      <c r="B63" s="11" t="n"/>
      <c r="C63" s="12" t="n"/>
      <c r="D63" s="11" t="n"/>
      <c r="E63" s="13">
        <f>IF($A63="","",IFERROR(TEXTJOIN(CHAR(10),TRUE,FILTER('Learning Objectives'!$D$2:$D$500,'Learning Objectives'!$A$2:$A$500="13–16 Years",'Learning Objectives'!$B$2:$B$500=$A63)),""))</f>
        <v/>
      </c>
      <c r="F63" s="11" t="n"/>
      <c r="G63" s="12" t="n"/>
      <c r="H63" s="12" t="n"/>
      <c r="I63" s="11" t="n"/>
      <c r="J63" s="11" t="n"/>
      <c r="K63" s="11" t="n"/>
      <c r="L63" s="12" t="n"/>
      <c r="M63" s="12" t="n"/>
      <c r="N63" s="11" t="n"/>
    </row>
    <row r="64">
      <c r="A64" s="10" t="n"/>
      <c r="B64" s="11" t="n"/>
      <c r="C64" s="12" t="n"/>
      <c r="D64" s="11" t="n"/>
      <c r="E64" s="13">
        <f>IF($A64="","",IFERROR(TEXTJOIN(CHAR(10),TRUE,FILTER('Learning Objectives'!$D$2:$D$500,'Learning Objectives'!$A$2:$A$500="13–16 Years",'Learning Objectives'!$B$2:$B$500=$A64)),""))</f>
        <v/>
      </c>
      <c r="F64" s="11" t="n"/>
      <c r="G64" s="12" t="n"/>
      <c r="H64" s="12" t="n"/>
      <c r="I64" s="11" t="n"/>
      <c r="J64" s="11" t="n"/>
      <c r="K64" s="11" t="n"/>
      <c r="L64" s="12" t="n"/>
      <c r="M64" s="12" t="n"/>
      <c r="N64" s="11" t="n"/>
    </row>
    <row r="65">
      <c r="A65" s="10" t="n"/>
      <c r="B65" s="11" t="n"/>
      <c r="C65" s="12" t="n"/>
      <c r="D65" s="11" t="n"/>
      <c r="E65" s="13">
        <f>IF($A65="","",IFERROR(TEXTJOIN(CHAR(10),TRUE,FILTER('Learning Objectives'!$D$2:$D$500,'Learning Objectives'!$A$2:$A$500="13–16 Years",'Learning Objectives'!$B$2:$B$500=$A65)),""))</f>
        <v/>
      </c>
      <c r="F65" s="11" t="n"/>
      <c r="G65" s="12" t="n"/>
      <c r="H65" s="12" t="n"/>
      <c r="I65" s="11" t="n"/>
      <c r="J65" s="11" t="n"/>
      <c r="K65" s="11" t="n"/>
      <c r="L65" s="12" t="n"/>
      <c r="M65" s="12" t="n"/>
      <c r="N65" s="11" t="n"/>
    </row>
    <row r="66">
      <c r="A66" s="10" t="n"/>
      <c r="B66" s="11" t="n"/>
      <c r="C66" s="12" t="n"/>
      <c r="D66" s="11" t="n"/>
      <c r="E66" s="13">
        <f>IF($A66="","",IFERROR(TEXTJOIN(CHAR(10),TRUE,FILTER('Learning Objectives'!$D$2:$D$500,'Learning Objectives'!$A$2:$A$500="13–16 Years",'Learning Objectives'!$B$2:$B$500=$A66)),""))</f>
        <v/>
      </c>
      <c r="F66" s="11" t="n"/>
      <c r="G66" s="12" t="n"/>
      <c r="H66" s="12" t="n"/>
      <c r="I66" s="11" t="n"/>
      <c r="J66" s="11" t="n"/>
      <c r="K66" s="11" t="n"/>
      <c r="L66" s="12" t="n"/>
      <c r="M66" s="12" t="n"/>
      <c r="N66" s="11" t="n"/>
    </row>
    <row r="67">
      <c r="A67" s="10" t="n"/>
      <c r="B67" s="11" t="n"/>
      <c r="C67" s="12" t="n"/>
      <c r="D67" s="11" t="n"/>
      <c r="E67" s="13">
        <f>IF($A67="","",IFERROR(TEXTJOIN(CHAR(10),TRUE,FILTER('Learning Objectives'!$D$2:$D$500,'Learning Objectives'!$A$2:$A$500="13–16 Years",'Learning Objectives'!$B$2:$B$500=$A67)),""))</f>
        <v/>
      </c>
      <c r="F67" s="11" t="n"/>
      <c r="G67" s="12" t="n"/>
      <c r="H67" s="12" t="n"/>
      <c r="I67" s="11" t="n"/>
      <c r="J67" s="11" t="n"/>
      <c r="K67" s="11" t="n"/>
      <c r="L67" s="12" t="n"/>
      <c r="M67" s="12" t="n"/>
      <c r="N67" s="11" t="n"/>
    </row>
    <row r="68">
      <c r="A68" s="10" t="n"/>
      <c r="B68" s="11" t="n"/>
      <c r="C68" s="12" t="n"/>
      <c r="D68" s="11" t="n"/>
      <c r="E68" s="13">
        <f>IF($A68="","",IFERROR(TEXTJOIN(CHAR(10),TRUE,FILTER('Learning Objectives'!$D$2:$D$500,'Learning Objectives'!$A$2:$A$500="13–16 Years",'Learning Objectives'!$B$2:$B$500=$A68)),""))</f>
        <v/>
      </c>
      <c r="F68" s="11" t="n"/>
      <c r="G68" s="12" t="n"/>
      <c r="H68" s="12" t="n"/>
      <c r="I68" s="11" t="n"/>
      <c r="J68" s="11" t="n"/>
      <c r="K68" s="11" t="n"/>
      <c r="L68" s="12" t="n"/>
      <c r="M68" s="12" t="n"/>
      <c r="N68" s="11" t="n"/>
    </row>
    <row r="69">
      <c r="A69" s="10" t="n"/>
      <c r="B69" s="11" t="n"/>
      <c r="C69" s="12" t="n"/>
      <c r="D69" s="11" t="n"/>
      <c r="E69" s="13">
        <f>IF($A69="","",IFERROR(TEXTJOIN(CHAR(10),TRUE,FILTER('Learning Objectives'!$D$2:$D$500,'Learning Objectives'!$A$2:$A$500="13–16 Years",'Learning Objectives'!$B$2:$B$500=$A69)),""))</f>
        <v/>
      </c>
      <c r="F69" s="11" t="n"/>
      <c r="G69" s="12" t="n"/>
      <c r="H69" s="12" t="n"/>
      <c r="I69" s="11" t="n"/>
      <c r="J69" s="11" t="n"/>
      <c r="K69" s="11" t="n"/>
      <c r="L69" s="12" t="n"/>
      <c r="M69" s="12" t="n"/>
      <c r="N69" s="11" t="n"/>
    </row>
    <row r="70">
      <c r="A70" s="10" t="n"/>
      <c r="B70" s="11" t="n"/>
      <c r="C70" s="12" t="n"/>
      <c r="D70" s="11" t="n"/>
      <c r="E70" s="13">
        <f>IF($A70="","",IFERROR(TEXTJOIN(CHAR(10),TRUE,FILTER('Learning Objectives'!$D$2:$D$500,'Learning Objectives'!$A$2:$A$500="13–16 Years",'Learning Objectives'!$B$2:$B$500=$A70)),""))</f>
        <v/>
      </c>
      <c r="F70" s="11" t="n"/>
      <c r="G70" s="12" t="n"/>
      <c r="H70" s="12" t="n"/>
      <c r="I70" s="11" t="n"/>
      <c r="J70" s="11" t="n"/>
      <c r="K70" s="11" t="n"/>
      <c r="L70" s="12" t="n"/>
      <c r="M70" s="12" t="n"/>
      <c r="N70" s="11" t="n"/>
    </row>
    <row r="71">
      <c r="A71" s="10" t="n"/>
      <c r="B71" s="11" t="n"/>
      <c r="C71" s="12" t="n"/>
      <c r="D71" s="11" t="n"/>
      <c r="E71" s="13">
        <f>IF($A71="","",IFERROR(TEXTJOIN(CHAR(10),TRUE,FILTER('Learning Objectives'!$D$2:$D$500,'Learning Objectives'!$A$2:$A$500="13–16 Years",'Learning Objectives'!$B$2:$B$500=$A71)),""))</f>
        <v/>
      </c>
      <c r="F71" s="11" t="n"/>
      <c r="G71" s="12" t="n"/>
      <c r="H71" s="12" t="n"/>
      <c r="I71" s="11" t="n"/>
      <c r="J71" s="11" t="n"/>
      <c r="K71" s="11" t="n"/>
      <c r="L71" s="12" t="n"/>
      <c r="M71" s="12" t="n"/>
      <c r="N71" s="11" t="n"/>
    </row>
    <row r="72">
      <c r="A72" s="10" t="n"/>
      <c r="B72" s="11" t="n"/>
      <c r="C72" s="12" t="n"/>
      <c r="D72" s="11" t="n"/>
      <c r="E72" s="13">
        <f>IF($A72="","",IFERROR(TEXTJOIN(CHAR(10),TRUE,FILTER('Learning Objectives'!$D$2:$D$500,'Learning Objectives'!$A$2:$A$500="13–16 Years",'Learning Objectives'!$B$2:$B$500=$A72)),""))</f>
        <v/>
      </c>
      <c r="F72" s="11" t="n"/>
      <c r="G72" s="12" t="n"/>
      <c r="H72" s="12" t="n"/>
      <c r="I72" s="11" t="n"/>
      <c r="J72" s="11" t="n"/>
      <c r="K72" s="11" t="n"/>
      <c r="L72" s="12" t="n"/>
      <c r="M72" s="12" t="n"/>
      <c r="N72" s="11" t="n"/>
    </row>
    <row r="73">
      <c r="A73" s="10" t="n"/>
      <c r="B73" s="11" t="n"/>
      <c r="C73" s="12" t="n"/>
      <c r="D73" s="11" t="n"/>
      <c r="E73" s="13">
        <f>IF($A73="","",IFERROR(TEXTJOIN(CHAR(10),TRUE,FILTER('Learning Objectives'!$D$2:$D$500,'Learning Objectives'!$A$2:$A$500="13–16 Years",'Learning Objectives'!$B$2:$B$500=$A73)),""))</f>
        <v/>
      </c>
      <c r="F73" s="11" t="n"/>
      <c r="G73" s="12" t="n"/>
      <c r="H73" s="12" t="n"/>
      <c r="I73" s="11" t="n"/>
      <c r="J73" s="11" t="n"/>
      <c r="K73" s="11" t="n"/>
      <c r="L73" s="12" t="n"/>
      <c r="M73" s="12" t="n"/>
      <c r="N73" s="11" t="n"/>
    </row>
    <row r="74">
      <c r="A74" s="10" t="n"/>
      <c r="B74" s="11" t="n"/>
      <c r="C74" s="12" t="n"/>
      <c r="D74" s="11" t="n"/>
      <c r="E74" s="13">
        <f>IF($A74="","",IFERROR(TEXTJOIN(CHAR(10),TRUE,FILTER('Learning Objectives'!$D$2:$D$500,'Learning Objectives'!$A$2:$A$500="13–16 Years",'Learning Objectives'!$B$2:$B$500=$A74)),""))</f>
        <v/>
      </c>
      <c r="F74" s="11" t="n"/>
      <c r="G74" s="12" t="n"/>
      <c r="H74" s="12" t="n"/>
      <c r="I74" s="11" t="n"/>
      <c r="J74" s="11" t="n"/>
      <c r="K74" s="11" t="n"/>
      <c r="L74" s="12" t="n"/>
      <c r="M74" s="12" t="n"/>
      <c r="N74" s="11" t="n"/>
    </row>
    <row r="75">
      <c r="A75" s="10" t="n"/>
      <c r="B75" s="11" t="n"/>
      <c r="C75" s="12" t="n"/>
      <c r="D75" s="11" t="n"/>
      <c r="E75" s="13">
        <f>IF($A75="","",IFERROR(TEXTJOIN(CHAR(10),TRUE,FILTER('Learning Objectives'!$D$2:$D$500,'Learning Objectives'!$A$2:$A$500="13–16 Years",'Learning Objectives'!$B$2:$B$500=$A75)),""))</f>
        <v/>
      </c>
      <c r="F75" s="11" t="n"/>
      <c r="G75" s="12" t="n"/>
      <c r="H75" s="12" t="n"/>
      <c r="I75" s="11" t="n"/>
      <c r="J75" s="11" t="n"/>
      <c r="K75" s="11" t="n"/>
      <c r="L75" s="12" t="n"/>
      <c r="M75" s="12" t="n"/>
      <c r="N75" s="11" t="n"/>
    </row>
    <row r="76">
      <c r="A76" s="10" t="n"/>
      <c r="B76" s="11" t="n"/>
      <c r="C76" s="12" t="n"/>
      <c r="D76" s="11" t="n"/>
      <c r="E76" s="13">
        <f>IF($A76="","",IFERROR(TEXTJOIN(CHAR(10),TRUE,FILTER('Learning Objectives'!$D$2:$D$500,'Learning Objectives'!$A$2:$A$500="13–16 Years",'Learning Objectives'!$B$2:$B$500=$A76)),""))</f>
        <v/>
      </c>
      <c r="F76" s="11" t="n"/>
      <c r="G76" s="12" t="n"/>
      <c r="H76" s="12" t="n"/>
      <c r="I76" s="11" t="n"/>
      <c r="J76" s="11" t="n"/>
      <c r="K76" s="11" t="n"/>
      <c r="L76" s="12" t="n"/>
      <c r="M76" s="12" t="n"/>
      <c r="N76" s="11" t="n"/>
    </row>
    <row r="77">
      <c r="A77" s="10" t="n"/>
      <c r="B77" s="11" t="n"/>
      <c r="C77" s="12" t="n"/>
      <c r="D77" s="11" t="n"/>
      <c r="E77" s="13">
        <f>IF($A77="","",IFERROR(TEXTJOIN(CHAR(10),TRUE,FILTER('Learning Objectives'!$D$2:$D$500,'Learning Objectives'!$A$2:$A$500="13–16 Years",'Learning Objectives'!$B$2:$B$500=$A77)),""))</f>
        <v/>
      </c>
      <c r="F77" s="11" t="n"/>
      <c r="G77" s="12" t="n"/>
      <c r="H77" s="12" t="n"/>
      <c r="I77" s="11" t="n"/>
      <c r="J77" s="11" t="n"/>
      <c r="K77" s="11" t="n"/>
      <c r="L77" s="12" t="n"/>
      <c r="M77" s="12" t="n"/>
      <c r="N77" s="11" t="n"/>
    </row>
    <row r="78">
      <c r="A78" s="10" t="n"/>
      <c r="B78" s="11" t="n"/>
      <c r="C78" s="12" t="n"/>
      <c r="D78" s="11" t="n"/>
      <c r="E78" s="13">
        <f>IF($A78="","",IFERROR(TEXTJOIN(CHAR(10),TRUE,FILTER('Learning Objectives'!$D$2:$D$500,'Learning Objectives'!$A$2:$A$500="13–16 Years",'Learning Objectives'!$B$2:$B$500=$A78)),""))</f>
        <v/>
      </c>
      <c r="F78" s="11" t="n"/>
      <c r="G78" s="12" t="n"/>
      <c r="H78" s="12" t="n"/>
      <c r="I78" s="11" t="n"/>
      <c r="J78" s="11" t="n"/>
      <c r="K78" s="11" t="n"/>
      <c r="L78" s="12" t="n"/>
      <c r="M78" s="12" t="n"/>
      <c r="N78" s="11" t="n"/>
    </row>
    <row r="79">
      <c r="A79" s="10" t="n"/>
      <c r="B79" s="11" t="n"/>
      <c r="C79" s="12" t="n"/>
      <c r="D79" s="11" t="n"/>
      <c r="E79" s="13">
        <f>IF($A79="","",IFERROR(TEXTJOIN(CHAR(10),TRUE,FILTER('Learning Objectives'!$D$2:$D$500,'Learning Objectives'!$A$2:$A$500="13–16 Years",'Learning Objectives'!$B$2:$B$500=$A79)),""))</f>
        <v/>
      </c>
      <c r="F79" s="11" t="n"/>
      <c r="G79" s="12" t="n"/>
      <c r="H79" s="12" t="n"/>
      <c r="I79" s="11" t="n"/>
      <c r="J79" s="11" t="n"/>
      <c r="K79" s="11" t="n"/>
      <c r="L79" s="12" t="n"/>
      <c r="M79" s="12" t="n"/>
      <c r="N79" s="11" t="n"/>
    </row>
    <row r="80">
      <c r="A80" s="10" t="n"/>
      <c r="B80" s="11" t="n"/>
      <c r="C80" s="12" t="n"/>
      <c r="D80" s="11" t="n"/>
      <c r="E80" s="13">
        <f>IF($A80="","",IFERROR(TEXTJOIN(CHAR(10),TRUE,FILTER('Learning Objectives'!$D$2:$D$500,'Learning Objectives'!$A$2:$A$500="13–16 Years",'Learning Objectives'!$B$2:$B$500=$A80)),""))</f>
        <v/>
      </c>
      <c r="F80" s="11" t="n"/>
      <c r="G80" s="12" t="n"/>
      <c r="H80" s="12" t="n"/>
      <c r="I80" s="11" t="n"/>
      <c r="J80" s="11" t="n"/>
      <c r="K80" s="11" t="n"/>
      <c r="L80" s="12" t="n"/>
      <c r="M80" s="12" t="n"/>
      <c r="N80" s="11" t="n"/>
    </row>
    <row r="81">
      <c r="A81" s="10" t="n"/>
      <c r="B81" s="11" t="n"/>
      <c r="C81" s="12" t="n"/>
      <c r="D81" s="11" t="n"/>
      <c r="E81" s="13">
        <f>IF($A81="","",IFERROR(TEXTJOIN(CHAR(10),TRUE,FILTER('Learning Objectives'!$D$2:$D$500,'Learning Objectives'!$A$2:$A$500="13–16 Years",'Learning Objectives'!$B$2:$B$500=$A81)),""))</f>
        <v/>
      </c>
      <c r="F81" s="11" t="n"/>
      <c r="G81" s="12" t="n"/>
      <c r="H81" s="12" t="n"/>
      <c r="I81" s="11" t="n"/>
      <c r="J81" s="11" t="n"/>
      <c r="K81" s="11" t="n"/>
      <c r="L81" s="12" t="n"/>
      <c r="M81" s="12" t="n"/>
      <c r="N81" s="11" t="n"/>
    </row>
    <row r="82">
      <c r="A82" s="10" t="n"/>
      <c r="B82" s="11" t="n"/>
      <c r="C82" s="12" t="n"/>
      <c r="D82" s="11" t="n"/>
      <c r="E82" s="13">
        <f>IF($A82="","",IFERROR(TEXTJOIN(CHAR(10),TRUE,FILTER('Learning Objectives'!$D$2:$D$500,'Learning Objectives'!$A$2:$A$500="13–16 Years",'Learning Objectives'!$B$2:$B$500=$A82)),""))</f>
        <v/>
      </c>
      <c r="F82" s="11" t="n"/>
      <c r="G82" s="12" t="n"/>
      <c r="H82" s="12" t="n"/>
      <c r="I82" s="11" t="n"/>
      <c r="J82" s="11" t="n"/>
      <c r="K82" s="11" t="n"/>
      <c r="L82" s="12" t="n"/>
      <c r="M82" s="12" t="n"/>
      <c r="N82" s="11" t="n"/>
    </row>
    <row r="83">
      <c r="A83" s="10" t="n"/>
      <c r="B83" s="11" t="n"/>
      <c r="C83" s="12" t="n"/>
      <c r="D83" s="11" t="n"/>
      <c r="E83" s="13">
        <f>IF($A83="","",IFERROR(TEXTJOIN(CHAR(10),TRUE,FILTER('Learning Objectives'!$D$2:$D$500,'Learning Objectives'!$A$2:$A$500="13–16 Years",'Learning Objectives'!$B$2:$B$500=$A83)),""))</f>
        <v/>
      </c>
      <c r="F83" s="11" t="n"/>
      <c r="G83" s="12" t="n"/>
      <c r="H83" s="12" t="n"/>
      <c r="I83" s="11" t="n"/>
      <c r="J83" s="11" t="n"/>
      <c r="K83" s="11" t="n"/>
      <c r="L83" s="12" t="n"/>
      <c r="M83" s="12" t="n"/>
      <c r="N83" s="11" t="n"/>
    </row>
    <row r="84">
      <c r="A84" s="10" t="n"/>
      <c r="B84" s="11" t="n"/>
      <c r="C84" s="12" t="n"/>
      <c r="D84" s="11" t="n"/>
      <c r="E84" s="13">
        <f>IF($A84="","",IFERROR(TEXTJOIN(CHAR(10),TRUE,FILTER('Learning Objectives'!$D$2:$D$500,'Learning Objectives'!$A$2:$A$500="13–16 Years",'Learning Objectives'!$B$2:$B$500=$A84)),""))</f>
        <v/>
      </c>
      <c r="F84" s="11" t="n"/>
      <c r="G84" s="12" t="n"/>
      <c r="H84" s="12" t="n"/>
      <c r="I84" s="11" t="n"/>
      <c r="J84" s="11" t="n"/>
      <c r="K84" s="11" t="n"/>
      <c r="L84" s="12" t="n"/>
      <c r="M84" s="12" t="n"/>
      <c r="N84" s="11" t="n"/>
    </row>
    <row r="85">
      <c r="A85" s="10" t="n"/>
      <c r="B85" s="11" t="n"/>
      <c r="C85" s="12" t="n"/>
      <c r="D85" s="11" t="n"/>
      <c r="E85" s="13">
        <f>IF($A85="","",IFERROR(TEXTJOIN(CHAR(10),TRUE,FILTER('Learning Objectives'!$D$2:$D$500,'Learning Objectives'!$A$2:$A$500="13–16 Years",'Learning Objectives'!$B$2:$B$500=$A85)),""))</f>
        <v/>
      </c>
      <c r="F85" s="11" t="n"/>
      <c r="G85" s="12" t="n"/>
      <c r="H85" s="12" t="n"/>
      <c r="I85" s="11" t="n"/>
      <c r="J85" s="11" t="n"/>
      <c r="K85" s="11" t="n"/>
      <c r="L85" s="12" t="n"/>
      <c r="M85" s="12" t="n"/>
      <c r="N85" s="11" t="n"/>
    </row>
    <row r="86">
      <c r="A86" s="10" t="n"/>
      <c r="B86" s="11" t="n"/>
      <c r="C86" s="12" t="n"/>
      <c r="D86" s="11" t="n"/>
      <c r="E86" s="13">
        <f>IF($A86="","",IFERROR(TEXTJOIN(CHAR(10),TRUE,FILTER('Learning Objectives'!$D$2:$D$500,'Learning Objectives'!$A$2:$A$500="13–16 Years",'Learning Objectives'!$B$2:$B$500=$A86)),""))</f>
        <v/>
      </c>
      <c r="F86" s="11" t="n"/>
      <c r="G86" s="12" t="n"/>
      <c r="H86" s="12" t="n"/>
      <c r="I86" s="11" t="n"/>
      <c r="J86" s="11" t="n"/>
      <c r="K86" s="11" t="n"/>
      <c r="L86" s="12" t="n"/>
      <c r="M86" s="12" t="n"/>
      <c r="N86" s="11" t="n"/>
    </row>
    <row r="87">
      <c r="A87" s="10" t="n"/>
      <c r="B87" s="11" t="n"/>
      <c r="C87" s="12" t="n"/>
      <c r="D87" s="11" t="n"/>
      <c r="E87" s="13">
        <f>IF($A87="","",IFERROR(TEXTJOIN(CHAR(10),TRUE,FILTER('Learning Objectives'!$D$2:$D$500,'Learning Objectives'!$A$2:$A$500="13–16 Years",'Learning Objectives'!$B$2:$B$500=$A87)),""))</f>
        <v/>
      </c>
      <c r="F87" s="11" t="n"/>
      <c r="G87" s="12" t="n"/>
      <c r="H87" s="12" t="n"/>
      <c r="I87" s="11" t="n"/>
      <c r="J87" s="11" t="n"/>
      <c r="K87" s="11" t="n"/>
      <c r="L87" s="12" t="n"/>
      <c r="M87" s="12" t="n"/>
      <c r="N87" s="11" t="n"/>
    </row>
    <row r="88">
      <c r="A88" s="10" t="n"/>
      <c r="B88" s="11" t="n"/>
      <c r="C88" s="12" t="n"/>
      <c r="D88" s="11" t="n"/>
      <c r="E88" s="13">
        <f>IF($A88="","",IFERROR(TEXTJOIN(CHAR(10),TRUE,FILTER('Learning Objectives'!$D$2:$D$500,'Learning Objectives'!$A$2:$A$500="13–16 Years",'Learning Objectives'!$B$2:$B$500=$A88)),""))</f>
        <v/>
      </c>
      <c r="F88" s="11" t="n"/>
      <c r="G88" s="12" t="n"/>
      <c r="H88" s="12" t="n"/>
      <c r="I88" s="11" t="n"/>
      <c r="J88" s="11" t="n"/>
      <c r="K88" s="11" t="n"/>
      <c r="L88" s="12" t="n"/>
      <c r="M88" s="12" t="n"/>
      <c r="N88" s="11" t="n"/>
    </row>
    <row r="89">
      <c r="A89" s="10" t="n"/>
      <c r="B89" s="11" t="n"/>
      <c r="C89" s="12" t="n"/>
      <c r="D89" s="11" t="n"/>
      <c r="E89" s="13">
        <f>IF($A89="","",IFERROR(TEXTJOIN(CHAR(10),TRUE,FILTER('Learning Objectives'!$D$2:$D$500,'Learning Objectives'!$A$2:$A$500="13–16 Years",'Learning Objectives'!$B$2:$B$500=$A89)),""))</f>
        <v/>
      </c>
      <c r="F89" s="11" t="n"/>
      <c r="G89" s="12" t="n"/>
      <c r="H89" s="12" t="n"/>
      <c r="I89" s="11" t="n"/>
      <c r="J89" s="11" t="n"/>
      <c r="K89" s="11" t="n"/>
      <c r="L89" s="12" t="n"/>
      <c r="M89" s="12" t="n"/>
      <c r="N89" s="11" t="n"/>
    </row>
    <row r="90">
      <c r="A90" s="10" t="n"/>
      <c r="B90" s="11" t="n"/>
      <c r="C90" s="12" t="n"/>
      <c r="D90" s="11" t="n"/>
      <c r="E90" s="13">
        <f>IF($A90="","",IFERROR(TEXTJOIN(CHAR(10),TRUE,FILTER('Learning Objectives'!$D$2:$D$500,'Learning Objectives'!$A$2:$A$500="13–16 Years",'Learning Objectives'!$B$2:$B$500=$A90)),""))</f>
        <v/>
      </c>
      <c r="F90" s="11" t="n"/>
      <c r="G90" s="12" t="n"/>
      <c r="H90" s="12" t="n"/>
      <c r="I90" s="11" t="n"/>
      <c r="J90" s="11" t="n"/>
      <c r="K90" s="11" t="n"/>
      <c r="L90" s="12" t="n"/>
      <c r="M90" s="12" t="n"/>
      <c r="N90" s="11" t="n"/>
    </row>
    <row r="91">
      <c r="A91" s="10" t="n"/>
      <c r="B91" s="11" t="n"/>
      <c r="C91" s="12" t="n"/>
      <c r="D91" s="11" t="n"/>
      <c r="E91" s="13">
        <f>IF($A91="","",IFERROR(TEXTJOIN(CHAR(10),TRUE,FILTER('Learning Objectives'!$D$2:$D$500,'Learning Objectives'!$A$2:$A$500="13–16 Years",'Learning Objectives'!$B$2:$B$500=$A91)),""))</f>
        <v/>
      </c>
      <c r="F91" s="11" t="n"/>
      <c r="G91" s="12" t="n"/>
      <c r="H91" s="12" t="n"/>
      <c r="I91" s="11" t="n"/>
      <c r="J91" s="11" t="n"/>
      <c r="K91" s="11" t="n"/>
      <c r="L91" s="12" t="n"/>
      <c r="M91" s="12" t="n"/>
      <c r="N91" s="11" t="n"/>
    </row>
    <row r="92">
      <c r="A92" s="10" t="n"/>
      <c r="B92" s="11" t="n"/>
      <c r="C92" s="12" t="n"/>
      <c r="D92" s="11" t="n"/>
      <c r="E92" s="13">
        <f>IF($A92="","",IFERROR(TEXTJOIN(CHAR(10),TRUE,FILTER('Learning Objectives'!$D$2:$D$500,'Learning Objectives'!$A$2:$A$500="13–16 Years",'Learning Objectives'!$B$2:$B$500=$A92)),""))</f>
        <v/>
      </c>
      <c r="F92" s="11" t="n"/>
      <c r="G92" s="12" t="n"/>
      <c r="H92" s="12" t="n"/>
      <c r="I92" s="11" t="n"/>
      <c r="J92" s="11" t="n"/>
      <c r="K92" s="11" t="n"/>
      <c r="L92" s="12" t="n"/>
      <c r="M92" s="12" t="n"/>
      <c r="N92" s="11" t="n"/>
    </row>
    <row r="93">
      <c r="A93" s="10" t="n"/>
      <c r="B93" s="11" t="n"/>
      <c r="C93" s="12" t="n"/>
      <c r="D93" s="11" t="n"/>
      <c r="E93" s="13">
        <f>IF($A93="","",IFERROR(TEXTJOIN(CHAR(10),TRUE,FILTER('Learning Objectives'!$D$2:$D$500,'Learning Objectives'!$A$2:$A$500="13–16 Years",'Learning Objectives'!$B$2:$B$500=$A93)),""))</f>
        <v/>
      </c>
      <c r="F93" s="11" t="n"/>
      <c r="G93" s="12" t="n"/>
      <c r="H93" s="12" t="n"/>
      <c r="I93" s="11" t="n"/>
      <c r="J93" s="11" t="n"/>
      <c r="K93" s="11" t="n"/>
      <c r="L93" s="12" t="n"/>
      <c r="M93" s="12" t="n"/>
      <c r="N93" s="11" t="n"/>
    </row>
    <row r="94">
      <c r="A94" s="10" t="n"/>
      <c r="B94" s="11" t="n"/>
      <c r="C94" s="12" t="n"/>
      <c r="D94" s="11" t="n"/>
      <c r="E94" s="13">
        <f>IF($A94="","",IFERROR(TEXTJOIN(CHAR(10),TRUE,FILTER('Learning Objectives'!$D$2:$D$500,'Learning Objectives'!$A$2:$A$500="13–16 Years",'Learning Objectives'!$B$2:$B$500=$A94)),""))</f>
        <v/>
      </c>
      <c r="F94" s="11" t="n"/>
      <c r="G94" s="12" t="n"/>
      <c r="H94" s="12" t="n"/>
      <c r="I94" s="11" t="n"/>
      <c r="J94" s="11" t="n"/>
      <c r="K94" s="11" t="n"/>
      <c r="L94" s="12" t="n"/>
      <c r="M94" s="12" t="n"/>
      <c r="N94" s="11" t="n"/>
    </row>
    <row r="95">
      <c r="A95" s="10" t="n"/>
      <c r="B95" s="11" t="n"/>
      <c r="C95" s="12" t="n"/>
      <c r="D95" s="11" t="n"/>
      <c r="E95" s="13">
        <f>IF($A95="","",IFERROR(TEXTJOIN(CHAR(10),TRUE,FILTER('Learning Objectives'!$D$2:$D$500,'Learning Objectives'!$A$2:$A$500="13–16 Years",'Learning Objectives'!$B$2:$B$500=$A95)),""))</f>
        <v/>
      </c>
      <c r="F95" s="11" t="n"/>
      <c r="G95" s="12" t="n"/>
      <c r="H95" s="12" t="n"/>
      <c r="I95" s="11" t="n"/>
      <c r="J95" s="11" t="n"/>
      <c r="K95" s="11" t="n"/>
      <c r="L95" s="12" t="n"/>
      <c r="M95" s="12" t="n"/>
      <c r="N95" s="11" t="n"/>
    </row>
    <row r="96">
      <c r="A96" s="10" t="n"/>
      <c r="B96" s="11" t="n"/>
      <c r="C96" s="12" t="n"/>
      <c r="D96" s="11" t="n"/>
      <c r="E96" s="13">
        <f>IF($A96="","",IFERROR(TEXTJOIN(CHAR(10),TRUE,FILTER('Learning Objectives'!$D$2:$D$500,'Learning Objectives'!$A$2:$A$500="13–16 Years",'Learning Objectives'!$B$2:$B$500=$A96)),""))</f>
        <v/>
      </c>
      <c r="F96" s="11" t="n"/>
      <c r="G96" s="12" t="n"/>
      <c r="H96" s="12" t="n"/>
      <c r="I96" s="11" t="n"/>
      <c r="J96" s="11" t="n"/>
      <c r="K96" s="11" t="n"/>
      <c r="L96" s="12" t="n"/>
      <c r="M96" s="12" t="n"/>
      <c r="N96" s="11" t="n"/>
    </row>
    <row r="97">
      <c r="A97" s="10" t="n"/>
      <c r="B97" s="11" t="n"/>
      <c r="C97" s="12" t="n"/>
      <c r="D97" s="11" t="n"/>
      <c r="E97" s="13">
        <f>IF($A97="","",IFERROR(TEXTJOIN(CHAR(10),TRUE,FILTER('Learning Objectives'!$D$2:$D$500,'Learning Objectives'!$A$2:$A$500="13–16 Years",'Learning Objectives'!$B$2:$B$500=$A97)),""))</f>
        <v/>
      </c>
      <c r="F97" s="11" t="n"/>
      <c r="G97" s="12" t="n"/>
      <c r="H97" s="12" t="n"/>
      <c r="I97" s="11" t="n"/>
      <c r="J97" s="11" t="n"/>
      <c r="K97" s="11" t="n"/>
      <c r="L97" s="12" t="n"/>
      <c r="M97" s="12" t="n"/>
      <c r="N97" s="11" t="n"/>
    </row>
    <row r="98">
      <c r="A98" s="10" t="n"/>
      <c r="B98" s="11" t="n"/>
      <c r="C98" s="12" t="n"/>
      <c r="D98" s="11" t="n"/>
      <c r="E98" s="13">
        <f>IF($A98="","",IFERROR(TEXTJOIN(CHAR(10),TRUE,FILTER('Learning Objectives'!$D$2:$D$500,'Learning Objectives'!$A$2:$A$500="13–16 Years",'Learning Objectives'!$B$2:$B$500=$A98)),""))</f>
        <v/>
      </c>
      <c r="F98" s="11" t="n"/>
      <c r="G98" s="12" t="n"/>
      <c r="H98" s="12" t="n"/>
      <c r="I98" s="11" t="n"/>
      <c r="J98" s="11" t="n"/>
      <c r="K98" s="11" t="n"/>
      <c r="L98" s="12" t="n"/>
      <c r="M98" s="12" t="n"/>
      <c r="N98" s="11" t="n"/>
    </row>
    <row r="99">
      <c r="A99" s="10" t="n"/>
      <c r="B99" s="11" t="n"/>
      <c r="C99" s="12" t="n"/>
      <c r="D99" s="11" t="n"/>
      <c r="E99" s="13">
        <f>IF($A99="","",IFERROR(TEXTJOIN(CHAR(10),TRUE,FILTER('Learning Objectives'!$D$2:$D$500,'Learning Objectives'!$A$2:$A$500="13–16 Years",'Learning Objectives'!$B$2:$B$500=$A99)),""))</f>
        <v/>
      </c>
      <c r="F99" s="11" t="n"/>
      <c r="G99" s="12" t="n"/>
      <c r="H99" s="12" t="n"/>
      <c r="I99" s="11" t="n"/>
      <c r="J99" s="11" t="n"/>
      <c r="K99" s="11" t="n"/>
      <c r="L99" s="12" t="n"/>
      <c r="M99" s="12" t="n"/>
      <c r="N99" s="11" t="n"/>
    </row>
    <row r="100">
      <c r="A100" s="10" t="n"/>
      <c r="B100" s="11" t="n"/>
      <c r="C100" s="12" t="n"/>
      <c r="D100" s="11" t="n"/>
      <c r="E100" s="13">
        <f>IF($A100="","",IFERROR(TEXTJOIN(CHAR(10),TRUE,FILTER('Learning Objectives'!$D$2:$D$500,'Learning Objectives'!$A$2:$A$500="13–16 Years",'Learning Objectives'!$B$2:$B$500=$A100)),""))</f>
        <v/>
      </c>
      <c r="F100" s="11" t="n"/>
      <c r="G100" s="12" t="n"/>
      <c r="H100" s="12" t="n"/>
      <c r="I100" s="11" t="n"/>
      <c r="J100" s="11" t="n"/>
      <c r="K100" s="11" t="n"/>
      <c r="L100" s="12" t="n"/>
      <c r="M100" s="12" t="n"/>
      <c r="N100" s="11" t="n"/>
    </row>
    <row r="101">
      <c r="A101" s="10" t="n"/>
      <c r="B101" s="11" t="n"/>
      <c r="C101" s="12" t="n"/>
      <c r="D101" s="11" t="n"/>
      <c r="E101" s="13">
        <f>IF($A101="","",IFERROR(TEXTJOIN(CHAR(10),TRUE,FILTER('Learning Objectives'!$D$2:$D$500,'Learning Objectives'!$A$2:$A$500="13–16 Years",'Learning Objectives'!$B$2:$B$500=$A101)),""))</f>
        <v/>
      </c>
      <c r="F101" s="11" t="n"/>
      <c r="G101" s="12" t="n"/>
      <c r="H101" s="12" t="n"/>
      <c r="I101" s="11" t="n"/>
      <c r="J101" s="11" t="n"/>
      <c r="K101" s="11" t="n"/>
      <c r="L101" s="12" t="n"/>
      <c r="M101" s="12" t="n"/>
      <c r="N101" s="11" t="n"/>
    </row>
    <row r="102">
      <c r="A102" s="10" t="n"/>
      <c r="B102" s="11" t="n"/>
      <c r="C102" s="12" t="n"/>
      <c r="D102" s="11" t="n"/>
      <c r="E102" s="13">
        <f>IF($A102="","",IFERROR(TEXTJOIN(CHAR(10),TRUE,FILTER('Learning Objectives'!$D$2:$D$500,'Learning Objectives'!$A$2:$A$500="13–16 Years",'Learning Objectives'!$B$2:$B$500=$A102)),""))</f>
        <v/>
      </c>
      <c r="F102" s="11" t="n"/>
      <c r="G102" s="12" t="n"/>
      <c r="H102" s="12" t="n"/>
      <c r="I102" s="11" t="n"/>
      <c r="J102" s="11" t="n"/>
      <c r="K102" s="11" t="n"/>
      <c r="L102" s="12" t="n"/>
      <c r="M102" s="12" t="n"/>
      <c r="N102" s="11" t="n"/>
    </row>
    <row r="103">
      <c r="A103" s="10" t="n"/>
      <c r="B103" s="11" t="n"/>
      <c r="C103" s="12" t="n"/>
      <c r="D103" s="11" t="n"/>
      <c r="E103" s="13">
        <f>IF($A103="","",IFERROR(TEXTJOIN(CHAR(10),TRUE,FILTER('Learning Objectives'!$D$2:$D$500,'Learning Objectives'!$A$2:$A$500="13–16 Years",'Learning Objectives'!$B$2:$B$500=$A103)),""))</f>
        <v/>
      </c>
      <c r="F103" s="11" t="n"/>
      <c r="G103" s="12" t="n"/>
      <c r="H103" s="12" t="n"/>
      <c r="I103" s="11" t="n"/>
      <c r="J103" s="11" t="n"/>
      <c r="K103" s="11" t="n"/>
      <c r="L103" s="12" t="n"/>
      <c r="M103" s="12" t="n"/>
      <c r="N103" s="11" t="n"/>
    </row>
    <row r="104">
      <c r="A104" s="10" t="n"/>
      <c r="B104" s="11" t="n"/>
      <c r="C104" s="12" t="n"/>
      <c r="D104" s="11" t="n"/>
      <c r="E104" s="13">
        <f>IF($A104="","",IFERROR(TEXTJOIN(CHAR(10),TRUE,FILTER('Learning Objectives'!$D$2:$D$500,'Learning Objectives'!$A$2:$A$500="13–16 Years",'Learning Objectives'!$B$2:$B$500=$A104)),""))</f>
        <v/>
      </c>
      <c r="F104" s="11" t="n"/>
      <c r="G104" s="12" t="n"/>
      <c r="H104" s="12" t="n"/>
      <c r="I104" s="11" t="n"/>
      <c r="J104" s="11" t="n"/>
      <c r="K104" s="11" t="n"/>
      <c r="L104" s="12" t="n"/>
      <c r="M104" s="12" t="n"/>
      <c r="N104" s="11" t="n"/>
    </row>
    <row r="105">
      <c r="A105" s="10" t="n"/>
      <c r="B105" s="11" t="n"/>
      <c r="C105" s="12" t="n"/>
      <c r="D105" s="11" t="n"/>
      <c r="E105" s="13">
        <f>IF($A105="","",IFERROR(TEXTJOIN(CHAR(10),TRUE,FILTER('Learning Objectives'!$D$2:$D$500,'Learning Objectives'!$A$2:$A$500="13–16 Years",'Learning Objectives'!$B$2:$B$500=$A105)),""))</f>
        <v/>
      </c>
      <c r="F105" s="11" t="n"/>
      <c r="G105" s="12" t="n"/>
      <c r="H105" s="12" t="n"/>
      <c r="I105" s="11" t="n"/>
      <c r="J105" s="11" t="n"/>
      <c r="K105" s="11" t="n"/>
      <c r="L105" s="12" t="n"/>
      <c r="M105" s="12" t="n"/>
      <c r="N105" s="11" t="n"/>
    </row>
    <row r="106">
      <c r="A106" s="10" t="n"/>
      <c r="B106" s="11" t="n"/>
      <c r="C106" s="12" t="n"/>
      <c r="D106" s="11" t="n"/>
      <c r="E106" s="13">
        <f>IF($A106="","",IFERROR(TEXTJOIN(CHAR(10),TRUE,FILTER('Learning Objectives'!$D$2:$D$500,'Learning Objectives'!$A$2:$A$500="13–16 Years",'Learning Objectives'!$B$2:$B$500=$A106)),""))</f>
        <v/>
      </c>
      <c r="F106" s="11" t="n"/>
      <c r="G106" s="12" t="n"/>
      <c r="H106" s="12" t="n"/>
      <c r="I106" s="11" t="n"/>
      <c r="J106" s="11" t="n"/>
      <c r="K106" s="11" t="n"/>
      <c r="L106" s="12" t="n"/>
      <c r="M106" s="12" t="n"/>
      <c r="N106" s="11" t="n"/>
    </row>
    <row r="107">
      <c r="A107" s="10" t="n"/>
      <c r="B107" s="11" t="n"/>
      <c r="C107" s="12" t="n"/>
      <c r="D107" s="11" t="n"/>
      <c r="E107" s="13">
        <f>IF($A107="","",IFERROR(TEXTJOIN(CHAR(10),TRUE,FILTER('Learning Objectives'!$D$2:$D$500,'Learning Objectives'!$A$2:$A$500="13–16 Years",'Learning Objectives'!$B$2:$B$500=$A107)),""))</f>
        <v/>
      </c>
      <c r="F107" s="11" t="n"/>
      <c r="G107" s="12" t="n"/>
      <c r="H107" s="12" t="n"/>
      <c r="I107" s="11" t="n"/>
      <c r="J107" s="11" t="n"/>
      <c r="K107" s="11" t="n"/>
      <c r="L107" s="12" t="n"/>
      <c r="M107" s="12" t="n"/>
      <c r="N107" s="11" t="n"/>
    </row>
    <row r="108">
      <c r="A108" s="10" t="n"/>
      <c r="B108" s="11" t="n"/>
      <c r="C108" s="12" t="n"/>
      <c r="D108" s="11" t="n"/>
      <c r="E108" s="13">
        <f>IF($A108="","",IFERROR(TEXTJOIN(CHAR(10),TRUE,FILTER('Learning Objectives'!$D$2:$D$500,'Learning Objectives'!$A$2:$A$500="13–16 Years",'Learning Objectives'!$B$2:$B$500=$A108)),""))</f>
        <v/>
      </c>
      <c r="F108" s="11" t="n"/>
      <c r="G108" s="12" t="n"/>
      <c r="H108" s="12" t="n"/>
      <c r="I108" s="11" t="n"/>
      <c r="J108" s="11" t="n"/>
      <c r="K108" s="11" t="n"/>
      <c r="L108" s="12" t="n"/>
      <c r="M108" s="12" t="n"/>
      <c r="N108" s="11" t="n"/>
    </row>
    <row r="109">
      <c r="A109" s="10" t="n"/>
      <c r="B109" s="11" t="n"/>
      <c r="C109" s="12" t="n"/>
      <c r="D109" s="11" t="n"/>
      <c r="E109" s="13">
        <f>IF($A109="","",IFERROR(TEXTJOIN(CHAR(10),TRUE,FILTER('Learning Objectives'!$D$2:$D$500,'Learning Objectives'!$A$2:$A$500="13–16 Years",'Learning Objectives'!$B$2:$B$500=$A109)),""))</f>
        <v/>
      </c>
      <c r="F109" s="11" t="n"/>
      <c r="G109" s="12" t="n"/>
      <c r="H109" s="12" t="n"/>
      <c r="I109" s="11" t="n"/>
      <c r="J109" s="11" t="n"/>
      <c r="K109" s="11" t="n"/>
      <c r="L109" s="12" t="n"/>
      <c r="M109" s="12" t="n"/>
      <c r="N109" s="11" t="n"/>
    </row>
    <row r="110">
      <c r="A110" s="10" t="n"/>
      <c r="B110" s="11" t="n"/>
      <c r="C110" s="12" t="n"/>
      <c r="D110" s="11" t="n"/>
      <c r="E110" s="13">
        <f>IF($A110="","",IFERROR(TEXTJOIN(CHAR(10),TRUE,FILTER('Learning Objectives'!$D$2:$D$500,'Learning Objectives'!$A$2:$A$500="13–16 Years",'Learning Objectives'!$B$2:$B$500=$A110)),""))</f>
        <v/>
      </c>
      <c r="F110" s="11" t="n"/>
      <c r="G110" s="12" t="n"/>
      <c r="H110" s="12" t="n"/>
      <c r="I110" s="11" t="n"/>
      <c r="J110" s="11" t="n"/>
      <c r="K110" s="11" t="n"/>
      <c r="L110" s="12" t="n"/>
      <c r="M110" s="12" t="n"/>
      <c r="N110" s="11" t="n"/>
    </row>
    <row r="111">
      <c r="A111" s="10" t="n"/>
      <c r="B111" s="11" t="n"/>
      <c r="C111" s="12" t="n"/>
      <c r="D111" s="11" t="n"/>
      <c r="E111" s="13">
        <f>IF($A111="","",IFERROR(TEXTJOIN(CHAR(10),TRUE,FILTER('Learning Objectives'!$D$2:$D$500,'Learning Objectives'!$A$2:$A$500="13–16 Years",'Learning Objectives'!$B$2:$B$500=$A111)),""))</f>
        <v/>
      </c>
      <c r="F111" s="11" t="n"/>
      <c r="G111" s="12" t="n"/>
      <c r="H111" s="12" t="n"/>
      <c r="I111" s="11" t="n"/>
      <c r="J111" s="11" t="n"/>
      <c r="K111" s="11" t="n"/>
      <c r="L111" s="12" t="n"/>
      <c r="M111" s="12" t="n"/>
      <c r="N111" s="11" t="n"/>
    </row>
    <row r="112">
      <c r="A112" s="10" t="n"/>
      <c r="B112" s="11" t="n"/>
      <c r="C112" s="12" t="n"/>
      <c r="D112" s="11" t="n"/>
      <c r="E112" s="13">
        <f>IF($A112="","",IFERROR(TEXTJOIN(CHAR(10),TRUE,FILTER('Learning Objectives'!$D$2:$D$500,'Learning Objectives'!$A$2:$A$500="13–16 Years",'Learning Objectives'!$B$2:$B$500=$A112)),""))</f>
        <v/>
      </c>
      <c r="F112" s="11" t="n"/>
      <c r="G112" s="12" t="n"/>
      <c r="H112" s="12" t="n"/>
      <c r="I112" s="11" t="n"/>
      <c r="J112" s="11" t="n"/>
      <c r="K112" s="11" t="n"/>
      <c r="L112" s="12" t="n"/>
      <c r="M112" s="12" t="n"/>
      <c r="N112" s="11" t="n"/>
    </row>
    <row r="113">
      <c r="A113" s="10" t="n"/>
      <c r="B113" s="11" t="n"/>
      <c r="C113" s="12" t="n"/>
      <c r="D113" s="11" t="n"/>
      <c r="E113" s="13">
        <f>IF($A113="","",IFERROR(TEXTJOIN(CHAR(10),TRUE,FILTER('Learning Objectives'!$D$2:$D$500,'Learning Objectives'!$A$2:$A$500="13–16 Years",'Learning Objectives'!$B$2:$B$500=$A113)),""))</f>
        <v/>
      </c>
      <c r="F113" s="11" t="n"/>
      <c r="G113" s="12" t="n"/>
      <c r="H113" s="12" t="n"/>
      <c r="I113" s="11" t="n"/>
      <c r="J113" s="11" t="n"/>
      <c r="K113" s="11" t="n"/>
      <c r="L113" s="12" t="n"/>
      <c r="M113" s="12" t="n"/>
      <c r="N113" s="11" t="n"/>
    </row>
    <row r="114">
      <c r="A114" s="10" t="n"/>
      <c r="B114" s="11" t="n"/>
      <c r="C114" s="12" t="n"/>
      <c r="D114" s="11" t="n"/>
      <c r="E114" s="13">
        <f>IF($A114="","",IFERROR(TEXTJOIN(CHAR(10),TRUE,FILTER('Learning Objectives'!$D$2:$D$500,'Learning Objectives'!$A$2:$A$500="13–16 Years",'Learning Objectives'!$B$2:$B$500=$A114)),""))</f>
        <v/>
      </c>
      <c r="F114" s="11" t="n"/>
      <c r="G114" s="12" t="n"/>
      <c r="H114" s="12" t="n"/>
      <c r="I114" s="11" t="n"/>
      <c r="J114" s="11" t="n"/>
      <c r="K114" s="11" t="n"/>
      <c r="L114" s="12" t="n"/>
      <c r="M114" s="12" t="n"/>
      <c r="N114" s="11" t="n"/>
    </row>
    <row r="115">
      <c r="A115" s="10" t="n"/>
      <c r="B115" s="11" t="n"/>
      <c r="C115" s="12" t="n"/>
      <c r="D115" s="11" t="n"/>
      <c r="E115" s="13">
        <f>IF($A115="","",IFERROR(TEXTJOIN(CHAR(10),TRUE,FILTER('Learning Objectives'!$D$2:$D$500,'Learning Objectives'!$A$2:$A$500="13–16 Years",'Learning Objectives'!$B$2:$B$500=$A115)),""))</f>
        <v/>
      </c>
      <c r="F115" s="11" t="n"/>
      <c r="G115" s="12" t="n"/>
      <c r="H115" s="12" t="n"/>
      <c r="I115" s="11" t="n"/>
      <c r="J115" s="11" t="n"/>
      <c r="K115" s="11" t="n"/>
      <c r="L115" s="12" t="n"/>
      <c r="M115" s="12" t="n"/>
      <c r="N115" s="11" t="n"/>
    </row>
    <row r="116">
      <c r="A116" s="10" t="n"/>
      <c r="B116" s="11" t="n"/>
      <c r="C116" s="12" t="n"/>
      <c r="D116" s="11" t="n"/>
      <c r="E116" s="13">
        <f>IF($A116="","",IFERROR(TEXTJOIN(CHAR(10),TRUE,FILTER('Learning Objectives'!$D$2:$D$500,'Learning Objectives'!$A$2:$A$500="13–16 Years",'Learning Objectives'!$B$2:$B$500=$A116)),""))</f>
        <v/>
      </c>
      <c r="F116" s="11" t="n"/>
      <c r="G116" s="12" t="n"/>
      <c r="H116" s="12" t="n"/>
      <c r="I116" s="11" t="n"/>
      <c r="J116" s="11" t="n"/>
      <c r="K116" s="11" t="n"/>
      <c r="L116" s="12" t="n"/>
      <c r="M116" s="12" t="n"/>
      <c r="N116" s="11" t="n"/>
    </row>
    <row r="117">
      <c r="A117" s="10" t="n"/>
      <c r="B117" s="11" t="n"/>
      <c r="C117" s="12" t="n"/>
      <c r="D117" s="11" t="n"/>
      <c r="E117" s="13">
        <f>IF($A117="","",IFERROR(TEXTJOIN(CHAR(10),TRUE,FILTER('Learning Objectives'!$D$2:$D$500,'Learning Objectives'!$A$2:$A$500="13–16 Years",'Learning Objectives'!$B$2:$B$500=$A117)),""))</f>
        <v/>
      </c>
      <c r="F117" s="11" t="n"/>
      <c r="G117" s="12" t="n"/>
      <c r="H117" s="12" t="n"/>
      <c r="I117" s="11" t="n"/>
      <c r="J117" s="11" t="n"/>
      <c r="K117" s="11" t="n"/>
      <c r="L117" s="12" t="n"/>
      <c r="M117" s="12" t="n"/>
      <c r="N117" s="11" t="n"/>
    </row>
    <row r="118">
      <c r="A118" s="10" t="n"/>
      <c r="B118" s="11" t="n"/>
      <c r="C118" s="12" t="n"/>
      <c r="D118" s="11" t="n"/>
      <c r="E118" s="13">
        <f>IF($A118="","",IFERROR(TEXTJOIN(CHAR(10),TRUE,FILTER('Learning Objectives'!$D$2:$D$500,'Learning Objectives'!$A$2:$A$500="13–16 Years",'Learning Objectives'!$B$2:$B$500=$A118)),""))</f>
        <v/>
      </c>
      <c r="F118" s="11" t="n"/>
      <c r="G118" s="12" t="n"/>
      <c r="H118" s="12" t="n"/>
      <c r="I118" s="11" t="n"/>
      <c r="J118" s="11" t="n"/>
      <c r="K118" s="11" t="n"/>
      <c r="L118" s="12" t="n"/>
      <c r="M118" s="12" t="n"/>
      <c r="N118" s="11" t="n"/>
    </row>
    <row r="119">
      <c r="A119" s="10" t="n"/>
      <c r="B119" s="11" t="n"/>
      <c r="C119" s="12" t="n"/>
      <c r="D119" s="11" t="n"/>
      <c r="E119" s="13">
        <f>IF($A119="","",IFERROR(TEXTJOIN(CHAR(10),TRUE,FILTER('Learning Objectives'!$D$2:$D$500,'Learning Objectives'!$A$2:$A$500="13–16 Years",'Learning Objectives'!$B$2:$B$500=$A119)),""))</f>
        <v/>
      </c>
      <c r="F119" s="11" t="n"/>
      <c r="G119" s="12" t="n"/>
      <c r="H119" s="12" t="n"/>
      <c r="I119" s="11" t="n"/>
      <c r="J119" s="11" t="n"/>
      <c r="K119" s="11" t="n"/>
      <c r="L119" s="12" t="n"/>
      <c r="M119" s="12" t="n"/>
      <c r="N119" s="11" t="n"/>
    </row>
    <row r="120">
      <c r="A120" s="10" t="n"/>
      <c r="B120" s="11" t="n"/>
      <c r="C120" s="12" t="n"/>
      <c r="D120" s="11" t="n"/>
      <c r="E120" s="13">
        <f>IF($A120="","",IFERROR(TEXTJOIN(CHAR(10),TRUE,FILTER('Learning Objectives'!$D$2:$D$500,'Learning Objectives'!$A$2:$A$500="13–16 Years",'Learning Objectives'!$B$2:$B$500=$A120)),""))</f>
        <v/>
      </c>
      <c r="F120" s="11" t="n"/>
      <c r="G120" s="12" t="n"/>
      <c r="H120" s="12" t="n"/>
      <c r="I120" s="11" t="n"/>
      <c r="J120" s="11" t="n"/>
      <c r="K120" s="11" t="n"/>
      <c r="L120" s="12" t="n"/>
      <c r="M120" s="12" t="n"/>
      <c r="N120" s="11" t="n"/>
    </row>
    <row r="121">
      <c r="A121" s="10" t="n"/>
      <c r="B121" s="11" t="n"/>
      <c r="C121" s="12" t="n"/>
      <c r="D121" s="11" t="n"/>
      <c r="E121" s="13">
        <f>IF($A121="","",IFERROR(TEXTJOIN(CHAR(10),TRUE,FILTER('Learning Objectives'!$D$2:$D$500,'Learning Objectives'!$A$2:$A$500="13–16 Years",'Learning Objectives'!$B$2:$B$500=$A121)),""))</f>
        <v/>
      </c>
      <c r="F121" s="11" t="n"/>
      <c r="G121" s="12" t="n"/>
      <c r="H121" s="12" t="n"/>
      <c r="I121" s="11" t="n"/>
      <c r="J121" s="11" t="n"/>
      <c r="K121" s="11" t="n"/>
      <c r="L121" s="12" t="n"/>
      <c r="M121" s="12" t="n"/>
      <c r="N121" s="11" t="n"/>
    </row>
    <row r="122">
      <c r="A122" s="10" t="n"/>
      <c r="B122" s="11" t="n"/>
      <c r="C122" s="12" t="n"/>
      <c r="D122" s="11" t="n"/>
      <c r="E122" s="13">
        <f>IF($A122="","",IFERROR(TEXTJOIN(CHAR(10),TRUE,FILTER('Learning Objectives'!$D$2:$D$500,'Learning Objectives'!$A$2:$A$500="13–16 Years",'Learning Objectives'!$B$2:$B$500=$A122)),""))</f>
        <v/>
      </c>
      <c r="F122" s="11" t="n"/>
      <c r="G122" s="12" t="n"/>
      <c r="H122" s="12" t="n"/>
      <c r="I122" s="11" t="n"/>
      <c r="J122" s="11" t="n"/>
      <c r="K122" s="11" t="n"/>
      <c r="L122" s="12" t="n"/>
      <c r="M122" s="12" t="n"/>
      <c r="N122" s="11" t="n"/>
    </row>
    <row r="123">
      <c r="A123" s="10" t="n"/>
      <c r="B123" s="11" t="n"/>
      <c r="C123" s="12" t="n"/>
      <c r="D123" s="11" t="n"/>
      <c r="E123" s="13">
        <f>IF($A123="","",IFERROR(TEXTJOIN(CHAR(10),TRUE,FILTER('Learning Objectives'!$D$2:$D$500,'Learning Objectives'!$A$2:$A$500="13–16 Years",'Learning Objectives'!$B$2:$B$500=$A123)),""))</f>
        <v/>
      </c>
      <c r="F123" s="11" t="n"/>
      <c r="G123" s="12" t="n"/>
      <c r="H123" s="12" t="n"/>
      <c r="I123" s="11" t="n"/>
      <c r="J123" s="11" t="n"/>
      <c r="K123" s="11" t="n"/>
      <c r="L123" s="12" t="n"/>
      <c r="M123" s="12" t="n"/>
      <c r="N123" s="11" t="n"/>
    </row>
    <row r="124">
      <c r="A124" s="10" t="n"/>
      <c r="B124" s="11" t="n"/>
      <c r="C124" s="12" t="n"/>
      <c r="D124" s="11" t="n"/>
      <c r="E124" s="13">
        <f>IF($A124="","",IFERROR(TEXTJOIN(CHAR(10),TRUE,FILTER('Learning Objectives'!$D$2:$D$500,'Learning Objectives'!$A$2:$A$500="13–16 Years",'Learning Objectives'!$B$2:$B$500=$A124)),""))</f>
        <v/>
      </c>
      <c r="F124" s="11" t="n"/>
      <c r="G124" s="12" t="n"/>
      <c r="H124" s="12" t="n"/>
      <c r="I124" s="11" t="n"/>
      <c r="J124" s="11" t="n"/>
      <c r="K124" s="11" t="n"/>
      <c r="L124" s="12" t="n"/>
      <c r="M124" s="12" t="n"/>
      <c r="N124" s="11" t="n"/>
    </row>
    <row r="125">
      <c r="A125" s="10" t="n"/>
      <c r="B125" s="11" t="n"/>
      <c r="C125" s="12" t="n"/>
      <c r="D125" s="11" t="n"/>
      <c r="E125" s="13">
        <f>IF($A125="","",IFERROR(TEXTJOIN(CHAR(10),TRUE,FILTER('Learning Objectives'!$D$2:$D$500,'Learning Objectives'!$A$2:$A$500="13–16 Years",'Learning Objectives'!$B$2:$B$500=$A125)),""))</f>
        <v/>
      </c>
      <c r="F125" s="11" t="n"/>
      <c r="G125" s="12" t="n"/>
      <c r="H125" s="12" t="n"/>
      <c r="I125" s="11" t="n"/>
      <c r="J125" s="11" t="n"/>
      <c r="K125" s="11" t="n"/>
      <c r="L125" s="12" t="n"/>
      <c r="M125" s="12" t="n"/>
      <c r="N125" s="11" t="n"/>
    </row>
    <row r="126">
      <c r="A126" s="10" t="n"/>
      <c r="B126" s="11" t="n"/>
      <c r="C126" s="12" t="n"/>
      <c r="D126" s="11" t="n"/>
      <c r="E126" s="13">
        <f>IF($A126="","",IFERROR(TEXTJOIN(CHAR(10),TRUE,FILTER('Learning Objectives'!$D$2:$D$500,'Learning Objectives'!$A$2:$A$500="13–16 Years",'Learning Objectives'!$B$2:$B$500=$A126)),""))</f>
        <v/>
      </c>
      <c r="F126" s="11" t="n"/>
      <c r="G126" s="12" t="n"/>
      <c r="H126" s="12" t="n"/>
      <c r="I126" s="11" t="n"/>
      <c r="J126" s="11" t="n"/>
      <c r="K126" s="11" t="n"/>
      <c r="L126" s="12" t="n"/>
      <c r="M126" s="12" t="n"/>
      <c r="N126" s="11" t="n"/>
    </row>
    <row r="127">
      <c r="A127" s="10" t="n"/>
      <c r="B127" s="11" t="n"/>
      <c r="C127" s="12" t="n"/>
      <c r="D127" s="11" t="n"/>
      <c r="E127" s="13">
        <f>IF($A127="","",IFERROR(TEXTJOIN(CHAR(10),TRUE,FILTER('Learning Objectives'!$D$2:$D$500,'Learning Objectives'!$A$2:$A$500="13–16 Years",'Learning Objectives'!$B$2:$B$500=$A127)),""))</f>
        <v/>
      </c>
      <c r="F127" s="11" t="n"/>
      <c r="G127" s="12" t="n"/>
      <c r="H127" s="12" t="n"/>
      <c r="I127" s="11" t="n"/>
      <c r="J127" s="11" t="n"/>
      <c r="K127" s="11" t="n"/>
      <c r="L127" s="12" t="n"/>
      <c r="M127" s="12" t="n"/>
      <c r="N127" s="11" t="n"/>
    </row>
    <row r="128">
      <c r="A128" s="10" t="n"/>
      <c r="B128" s="11" t="n"/>
      <c r="C128" s="12" t="n"/>
      <c r="D128" s="11" t="n"/>
      <c r="E128" s="13">
        <f>IF($A128="","",IFERROR(TEXTJOIN(CHAR(10),TRUE,FILTER('Learning Objectives'!$D$2:$D$500,'Learning Objectives'!$A$2:$A$500="13–16 Years",'Learning Objectives'!$B$2:$B$500=$A128)),""))</f>
        <v/>
      </c>
      <c r="F128" s="11" t="n"/>
      <c r="G128" s="12" t="n"/>
      <c r="H128" s="12" t="n"/>
      <c r="I128" s="11" t="n"/>
      <c r="J128" s="11" t="n"/>
      <c r="K128" s="11" t="n"/>
      <c r="L128" s="12" t="n"/>
      <c r="M128" s="12" t="n"/>
      <c r="N128" s="11" t="n"/>
    </row>
    <row r="129">
      <c r="A129" s="10" t="n"/>
      <c r="B129" s="11" t="n"/>
      <c r="C129" s="12" t="n"/>
      <c r="D129" s="11" t="n"/>
      <c r="E129" s="13">
        <f>IF($A129="","",IFERROR(TEXTJOIN(CHAR(10),TRUE,FILTER('Learning Objectives'!$D$2:$D$500,'Learning Objectives'!$A$2:$A$500="13–16 Years",'Learning Objectives'!$B$2:$B$500=$A129)),""))</f>
        <v/>
      </c>
      <c r="F129" s="11" t="n"/>
      <c r="G129" s="12" t="n"/>
      <c r="H129" s="12" t="n"/>
      <c r="I129" s="11" t="n"/>
      <c r="J129" s="11" t="n"/>
      <c r="K129" s="11" t="n"/>
      <c r="L129" s="12" t="n"/>
      <c r="M129" s="12" t="n"/>
      <c r="N129" s="11" t="n"/>
    </row>
    <row r="130">
      <c r="A130" s="10" t="n"/>
      <c r="B130" s="11" t="n"/>
      <c r="C130" s="12" t="n"/>
      <c r="D130" s="11" t="n"/>
      <c r="E130" s="13">
        <f>IF($A130="","",IFERROR(TEXTJOIN(CHAR(10),TRUE,FILTER('Learning Objectives'!$D$2:$D$500,'Learning Objectives'!$A$2:$A$500="13–16 Years",'Learning Objectives'!$B$2:$B$500=$A130)),""))</f>
        <v/>
      </c>
      <c r="F130" s="11" t="n"/>
      <c r="G130" s="12" t="n"/>
      <c r="H130" s="12" t="n"/>
      <c r="I130" s="11" t="n"/>
      <c r="J130" s="11" t="n"/>
      <c r="K130" s="11" t="n"/>
      <c r="L130" s="12" t="n"/>
      <c r="M130" s="12" t="n"/>
      <c r="N130" s="11" t="n"/>
    </row>
    <row r="131">
      <c r="A131" s="10" t="n"/>
      <c r="B131" s="11" t="n"/>
      <c r="C131" s="12" t="n"/>
      <c r="D131" s="11" t="n"/>
      <c r="E131" s="13">
        <f>IF($A131="","",IFERROR(TEXTJOIN(CHAR(10),TRUE,FILTER('Learning Objectives'!$D$2:$D$500,'Learning Objectives'!$A$2:$A$500="13–16 Years",'Learning Objectives'!$B$2:$B$500=$A131)),""))</f>
        <v/>
      </c>
      <c r="F131" s="11" t="n"/>
      <c r="G131" s="12" t="n"/>
      <c r="H131" s="12" t="n"/>
      <c r="I131" s="11" t="n"/>
      <c r="J131" s="11" t="n"/>
      <c r="K131" s="11" t="n"/>
      <c r="L131" s="12" t="n"/>
      <c r="M131" s="12" t="n"/>
      <c r="N131" s="11" t="n"/>
    </row>
    <row r="132">
      <c r="A132" s="10" t="n"/>
      <c r="B132" s="11" t="n"/>
      <c r="C132" s="12" t="n"/>
      <c r="D132" s="11" t="n"/>
      <c r="E132" s="13">
        <f>IF($A132="","",IFERROR(TEXTJOIN(CHAR(10),TRUE,FILTER('Learning Objectives'!$D$2:$D$500,'Learning Objectives'!$A$2:$A$500="13–16 Years",'Learning Objectives'!$B$2:$B$500=$A132)),""))</f>
        <v/>
      </c>
      <c r="F132" s="11" t="n"/>
      <c r="G132" s="12" t="n"/>
      <c r="H132" s="12" t="n"/>
      <c r="I132" s="11" t="n"/>
      <c r="J132" s="11" t="n"/>
      <c r="K132" s="11" t="n"/>
      <c r="L132" s="12" t="n"/>
      <c r="M132" s="12" t="n"/>
      <c r="N132" s="11" t="n"/>
    </row>
    <row r="133">
      <c r="A133" s="10" t="n"/>
      <c r="B133" s="11" t="n"/>
      <c r="C133" s="12" t="n"/>
      <c r="D133" s="11" t="n"/>
      <c r="E133" s="13">
        <f>IF($A133="","",IFERROR(TEXTJOIN(CHAR(10),TRUE,FILTER('Learning Objectives'!$D$2:$D$500,'Learning Objectives'!$A$2:$A$500="13–16 Years",'Learning Objectives'!$B$2:$B$500=$A133)),""))</f>
        <v/>
      </c>
      <c r="F133" s="11" t="n"/>
      <c r="G133" s="12" t="n"/>
      <c r="H133" s="12" t="n"/>
      <c r="I133" s="11" t="n"/>
      <c r="J133" s="11" t="n"/>
      <c r="K133" s="11" t="n"/>
      <c r="L133" s="12" t="n"/>
      <c r="M133" s="12" t="n"/>
      <c r="N133" s="11" t="n"/>
    </row>
    <row r="134">
      <c r="A134" s="10" t="n"/>
      <c r="B134" s="11" t="n"/>
      <c r="C134" s="12" t="n"/>
      <c r="D134" s="11" t="n"/>
      <c r="E134" s="13">
        <f>IF($A134="","",IFERROR(TEXTJOIN(CHAR(10),TRUE,FILTER('Learning Objectives'!$D$2:$D$500,'Learning Objectives'!$A$2:$A$500="13–16 Years",'Learning Objectives'!$B$2:$B$500=$A134)),""))</f>
        <v/>
      </c>
      <c r="F134" s="11" t="n"/>
      <c r="G134" s="12" t="n"/>
      <c r="H134" s="12" t="n"/>
      <c r="I134" s="11" t="n"/>
      <c r="J134" s="11" t="n"/>
      <c r="K134" s="11" t="n"/>
      <c r="L134" s="12" t="n"/>
      <c r="M134" s="12" t="n"/>
      <c r="N134" s="11" t="n"/>
    </row>
    <row r="135">
      <c r="A135" s="10" t="n"/>
      <c r="B135" s="11" t="n"/>
      <c r="C135" s="12" t="n"/>
      <c r="D135" s="11" t="n"/>
      <c r="E135" s="13">
        <f>IF($A135="","",IFERROR(TEXTJOIN(CHAR(10),TRUE,FILTER('Learning Objectives'!$D$2:$D$500,'Learning Objectives'!$A$2:$A$500="13–16 Years",'Learning Objectives'!$B$2:$B$500=$A135)),""))</f>
        <v/>
      </c>
      <c r="F135" s="11" t="n"/>
      <c r="G135" s="12" t="n"/>
      <c r="H135" s="12" t="n"/>
      <c r="I135" s="11" t="n"/>
      <c r="J135" s="11" t="n"/>
      <c r="K135" s="11" t="n"/>
      <c r="L135" s="12" t="n"/>
      <c r="M135" s="12" t="n"/>
      <c r="N135" s="11" t="n"/>
    </row>
    <row r="136">
      <c r="A136" s="10" t="n"/>
      <c r="B136" s="11" t="n"/>
      <c r="C136" s="12" t="n"/>
      <c r="D136" s="11" t="n"/>
      <c r="E136" s="13">
        <f>IF($A136="","",IFERROR(TEXTJOIN(CHAR(10),TRUE,FILTER('Learning Objectives'!$D$2:$D$500,'Learning Objectives'!$A$2:$A$500="13–16 Years",'Learning Objectives'!$B$2:$B$500=$A136)),""))</f>
        <v/>
      </c>
      <c r="F136" s="11" t="n"/>
      <c r="G136" s="12" t="n"/>
      <c r="H136" s="12" t="n"/>
      <c r="I136" s="11" t="n"/>
      <c r="J136" s="11" t="n"/>
      <c r="K136" s="11" t="n"/>
      <c r="L136" s="12" t="n"/>
      <c r="M136" s="12" t="n"/>
      <c r="N136" s="11" t="n"/>
    </row>
    <row r="137">
      <c r="A137" s="10" t="n"/>
      <c r="B137" s="11" t="n"/>
      <c r="C137" s="12" t="n"/>
      <c r="D137" s="11" t="n"/>
      <c r="E137" s="13">
        <f>IF($A137="","",IFERROR(TEXTJOIN(CHAR(10),TRUE,FILTER('Learning Objectives'!$D$2:$D$500,'Learning Objectives'!$A$2:$A$500="13–16 Years",'Learning Objectives'!$B$2:$B$500=$A137)),""))</f>
        <v/>
      </c>
      <c r="F137" s="11" t="n"/>
      <c r="G137" s="12" t="n"/>
      <c r="H137" s="12" t="n"/>
      <c r="I137" s="11" t="n"/>
      <c r="J137" s="11" t="n"/>
      <c r="K137" s="11" t="n"/>
      <c r="L137" s="12" t="n"/>
      <c r="M137" s="12" t="n"/>
      <c r="N137" s="11" t="n"/>
    </row>
    <row r="138">
      <c r="A138" s="10" t="n"/>
      <c r="B138" s="11" t="n"/>
      <c r="C138" s="12" t="n"/>
      <c r="D138" s="11" t="n"/>
      <c r="E138" s="13">
        <f>IF($A138="","",IFERROR(TEXTJOIN(CHAR(10),TRUE,FILTER('Learning Objectives'!$D$2:$D$500,'Learning Objectives'!$A$2:$A$500="13–16 Years",'Learning Objectives'!$B$2:$B$500=$A138)),""))</f>
        <v/>
      </c>
      <c r="F138" s="11" t="n"/>
      <c r="G138" s="12" t="n"/>
      <c r="H138" s="12" t="n"/>
      <c r="I138" s="11" t="n"/>
      <c r="J138" s="11" t="n"/>
      <c r="K138" s="11" t="n"/>
      <c r="L138" s="12" t="n"/>
      <c r="M138" s="12" t="n"/>
      <c r="N138" s="11" t="n"/>
    </row>
    <row r="139">
      <c r="A139" s="10" t="n"/>
      <c r="B139" s="11" t="n"/>
      <c r="C139" s="12" t="n"/>
      <c r="D139" s="11" t="n"/>
      <c r="E139" s="13">
        <f>IF($A139="","",IFERROR(TEXTJOIN(CHAR(10),TRUE,FILTER('Learning Objectives'!$D$2:$D$500,'Learning Objectives'!$A$2:$A$500="13–16 Years",'Learning Objectives'!$B$2:$B$500=$A139)),""))</f>
        <v/>
      </c>
      <c r="F139" s="11" t="n"/>
      <c r="G139" s="12" t="n"/>
      <c r="H139" s="12" t="n"/>
      <c r="I139" s="11" t="n"/>
      <c r="J139" s="11" t="n"/>
      <c r="K139" s="11" t="n"/>
      <c r="L139" s="12" t="n"/>
      <c r="M139" s="12" t="n"/>
      <c r="N139" s="11" t="n"/>
    </row>
    <row r="140">
      <c r="A140" s="10" t="n"/>
      <c r="B140" s="11" t="n"/>
      <c r="C140" s="12" t="n"/>
      <c r="D140" s="11" t="n"/>
      <c r="E140" s="13">
        <f>IF($A140="","",IFERROR(TEXTJOIN(CHAR(10),TRUE,FILTER('Learning Objectives'!$D$2:$D$500,'Learning Objectives'!$A$2:$A$500="13–16 Years",'Learning Objectives'!$B$2:$B$500=$A140)),""))</f>
        <v/>
      </c>
      <c r="F140" s="11" t="n"/>
      <c r="G140" s="12" t="n"/>
      <c r="H140" s="12" t="n"/>
      <c r="I140" s="11" t="n"/>
      <c r="J140" s="11" t="n"/>
      <c r="K140" s="11" t="n"/>
      <c r="L140" s="12" t="n"/>
      <c r="M140" s="12" t="n"/>
      <c r="N140" s="11" t="n"/>
    </row>
    <row r="141">
      <c r="A141" s="10" t="n"/>
      <c r="B141" s="11" t="n"/>
      <c r="C141" s="12" t="n"/>
      <c r="D141" s="11" t="n"/>
      <c r="E141" s="13">
        <f>IF($A141="","",IFERROR(TEXTJOIN(CHAR(10),TRUE,FILTER('Learning Objectives'!$D$2:$D$500,'Learning Objectives'!$A$2:$A$500="13–16 Years",'Learning Objectives'!$B$2:$B$500=$A141)),""))</f>
        <v/>
      </c>
      <c r="F141" s="11" t="n"/>
      <c r="G141" s="12" t="n"/>
      <c r="H141" s="12" t="n"/>
      <c r="I141" s="11" t="n"/>
      <c r="J141" s="11" t="n"/>
      <c r="K141" s="11" t="n"/>
      <c r="L141" s="12" t="n"/>
      <c r="M141" s="12" t="n"/>
      <c r="N141" s="11" t="n"/>
    </row>
    <row r="142">
      <c r="A142" s="10" t="n"/>
      <c r="B142" s="11" t="n"/>
      <c r="C142" s="12" t="n"/>
      <c r="D142" s="11" t="n"/>
      <c r="E142" s="13">
        <f>IF($A142="","",IFERROR(TEXTJOIN(CHAR(10),TRUE,FILTER('Learning Objectives'!$D$2:$D$500,'Learning Objectives'!$A$2:$A$500="13–16 Years",'Learning Objectives'!$B$2:$B$500=$A142)),""))</f>
        <v/>
      </c>
      <c r="F142" s="11" t="n"/>
      <c r="G142" s="12" t="n"/>
      <c r="H142" s="12" t="n"/>
      <c r="I142" s="11" t="n"/>
      <c r="J142" s="11" t="n"/>
      <c r="K142" s="11" t="n"/>
      <c r="L142" s="12" t="n"/>
      <c r="M142" s="12" t="n"/>
      <c r="N142" s="11" t="n"/>
    </row>
    <row r="143">
      <c r="A143" s="10" t="n"/>
      <c r="B143" s="11" t="n"/>
      <c r="C143" s="12" t="n"/>
      <c r="D143" s="11" t="n"/>
      <c r="E143" s="13">
        <f>IF($A143="","",IFERROR(TEXTJOIN(CHAR(10),TRUE,FILTER('Learning Objectives'!$D$2:$D$500,'Learning Objectives'!$A$2:$A$500="13–16 Years",'Learning Objectives'!$B$2:$B$500=$A143)),""))</f>
        <v/>
      </c>
      <c r="F143" s="11" t="n"/>
      <c r="G143" s="12" t="n"/>
      <c r="H143" s="12" t="n"/>
      <c r="I143" s="11" t="n"/>
      <c r="J143" s="11" t="n"/>
      <c r="K143" s="11" t="n"/>
      <c r="L143" s="12" t="n"/>
      <c r="M143" s="12" t="n"/>
      <c r="N143" s="11" t="n"/>
    </row>
    <row r="144">
      <c r="A144" s="10" t="n"/>
      <c r="B144" s="11" t="n"/>
      <c r="C144" s="12" t="n"/>
      <c r="D144" s="11" t="n"/>
      <c r="E144" s="13">
        <f>IF($A144="","",IFERROR(TEXTJOIN(CHAR(10),TRUE,FILTER('Learning Objectives'!$D$2:$D$500,'Learning Objectives'!$A$2:$A$500="13–16 Years",'Learning Objectives'!$B$2:$B$500=$A144)),""))</f>
        <v/>
      </c>
      <c r="F144" s="11" t="n"/>
      <c r="G144" s="12" t="n"/>
      <c r="H144" s="12" t="n"/>
      <c r="I144" s="11" t="n"/>
      <c r="J144" s="11" t="n"/>
      <c r="K144" s="11" t="n"/>
      <c r="L144" s="12" t="n"/>
      <c r="M144" s="12" t="n"/>
      <c r="N144" s="11" t="n"/>
    </row>
    <row r="145">
      <c r="A145" s="10" t="n"/>
      <c r="B145" s="11" t="n"/>
      <c r="C145" s="12" t="n"/>
      <c r="D145" s="11" t="n"/>
      <c r="E145" s="13">
        <f>IF($A145="","",IFERROR(TEXTJOIN(CHAR(10),TRUE,FILTER('Learning Objectives'!$D$2:$D$500,'Learning Objectives'!$A$2:$A$500="13–16 Years",'Learning Objectives'!$B$2:$B$500=$A145)),""))</f>
        <v/>
      </c>
      <c r="F145" s="11" t="n"/>
      <c r="G145" s="12" t="n"/>
      <c r="H145" s="12" t="n"/>
      <c r="I145" s="11" t="n"/>
      <c r="J145" s="11" t="n"/>
      <c r="K145" s="11" t="n"/>
      <c r="L145" s="12" t="n"/>
      <c r="M145" s="12" t="n"/>
      <c r="N145" s="11" t="n"/>
    </row>
    <row r="146">
      <c r="A146" s="10" t="n"/>
      <c r="B146" s="11" t="n"/>
      <c r="C146" s="12" t="n"/>
      <c r="D146" s="11" t="n"/>
      <c r="E146" s="13">
        <f>IF($A146="","",IFERROR(TEXTJOIN(CHAR(10),TRUE,FILTER('Learning Objectives'!$D$2:$D$500,'Learning Objectives'!$A$2:$A$500="13–16 Years",'Learning Objectives'!$B$2:$B$500=$A146)),""))</f>
        <v/>
      </c>
      <c r="F146" s="11" t="n"/>
      <c r="G146" s="12" t="n"/>
      <c r="H146" s="12" t="n"/>
      <c r="I146" s="11" t="n"/>
      <c r="J146" s="11" t="n"/>
      <c r="K146" s="11" t="n"/>
      <c r="L146" s="12" t="n"/>
      <c r="M146" s="12" t="n"/>
      <c r="N146" s="11" t="n"/>
    </row>
    <row r="147">
      <c r="A147" s="10" t="n"/>
      <c r="B147" s="11" t="n"/>
      <c r="C147" s="12" t="n"/>
      <c r="D147" s="11" t="n"/>
      <c r="E147" s="13">
        <f>IF($A147="","",IFERROR(TEXTJOIN(CHAR(10),TRUE,FILTER('Learning Objectives'!$D$2:$D$500,'Learning Objectives'!$A$2:$A$500="13–16 Years",'Learning Objectives'!$B$2:$B$500=$A147)),""))</f>
        <v/>
      </c>
      <c r="F147" s="11" t="n"/>
      <c r="G147" s="12" t="n"/>
      <c r="H147" s="12" t="n"/>
      <c r="I147" s="11" t="n"/>
      <c r="J147" s="11" t="n"/>
      <c r="K147" s="11" t="n"/>
      <c r="L147" s="12" t="n"/>
      <c r="M147" s="12" t="n"/>
      <c r="N147" s="11" t="n"/>
    </row>
    <row r="148">
      <c r="A148" s="10" t="n"/>
      <c r="B148" s="11" t="n"/>
      <c r="C148" s="12" t="n"/>
      <c r="D148" s="11" t="n"/>
      <c r="E148" s="13">
        <f>IF($A148="","",IFERROR(TEXTJOIN(CHAR(10),TRUE,FILTER('Learning Objectives'!$D$2:$D$500,'Learning Objectives'!$A$2:$A$500="13–16 Years",'Learning Objectives'!$B$2:$B$500=$A148)),""))</f>
        <v/>
      </c>
      <c r="F148" s="11" t="n"/>
      <c r="G148" s="12" t="n"/>
      <c r="H148" s="12" t="n"/>
      <c r="I148" s="11" t="n"/>
      <c r="J148" s="11" t="n"/>
      <c r="K148" s="11" t="n"/>
      <c r="L148" s="12" t="n"/>
      <c r="M148" s="12" t="n"/>
      <c r="N148" s="11" t="n"/>
    </row>
    <row r="149">
      <c r="A149" s="10" t="n"/>
      <c r="B149" s="11" t="n"/>
      <c r="C149" s="12" t="n"/>
      <c r="D149" s="11" t="n"/>
      <c r="E149" s="13">
        <f>IF($A149="","",IFERROR(TEXTJOIN(CHAR(10),TRUE,FILTER('Learning Objectives'!$D$2:$D$500,'Learning Objectives'!$A$2:$A$500="13–16 Years",'Learning Objectives'!$B$2:$B$500=$A149)),""))</f>
        <v/>
      </c>
      <c r="F149" s="11" t="n"/>
      <c r="G149" s="12" t="n"/>
      <c r="H149" s="12" t="n"/>
      <c r="I149" s="11" t="n"/>
      <c r="J149" s="11" t="n"/>
      <c r="K149" s="11" t="n"/>
      <c r="L149" s="12" t="n"/>
      <c r="M149" s="12" t="n"/>
      <c r="N149" s="11" t="n"/>
    </row>
    <row r="150">
      <c r="A150" s="10" t="n"/>
      <c r="B150" s="11" t="n"/>
      <c r="C150" s="12" t="n"/>
      <c r="D150" s="11" t="n"/>
      <c r="E150" s="13">
        <f>IF($A150="","",IFERROR(TEXTJOIN(CHAR(10),TRUE,FILTER('Learning Objectives'!$D$2:$D$500,'Learning Objectives'!$A$2:$A$500="13–16 Years",'Learning Objectives'!$B$2:$B$500=$A150)),""))</f>
        <v/>
      </c>
      <c r="F150" s="11" t="n"/>
      <c r="G150" s="12" t="n"/>
      <c r="H150" s="12" t="n"/>
      <c r="I150" s="11" t="n"/>
      <c r="J150" s="11" t="n"/>
      <c r="K150" s="11" t="n"/>
      <c r="L150" s="12" t="n"/>
      <c r="M150" s="12" t="n"/>
      <c r="N150" s="11" t="n"/>
    </row>
    <row r="151">
      <c r="A151" s="10" t="n"/>
      <c r="B151" s="11" t="n"/>
      <c r="C151" s="12" t="n"/>
      <c r="D151" s="11" t="n"/>
      <c r="E151" s="13">
        <f>IF($A151="","",IFERROR(TEXTJOIN(CHAR(10),TRUE,FILTER('Learning Objectives'!$D$2:$D$500,'Learning Objectives'!$A$2:$A$500="13–16 Years",'Learning Objectives'!$B$2:$B$500=$A151)),""))</f>
        <v/>
      </c>
      <c r="F151" s="11" t="n"/>
      <c r="G151" s="12" t="n"/>
      <c r="H151" s="12" t="n"/>
      <c r="I151" s="11" t="n"/>
      <c r="J151" s="11" t="n"/>
      <c r="K151" s="11" t="n"/>
      <c r="L151" s="12" t="n"/>
      <c r="M151" s="12" t="n"/>
      <c r="N151" s="11" t="n"/>
    </row>
    <row r="152">
      <c r="A152" s="10" t="n"/>
      <c r="B152" s="11" t="n"/>
      <c r="C152" s="12" t="n"/>
      <c r="D152" s="11" t="n"/>
      <c r="E152" s="13">
        <f>IF($A152="","",IFERROR(TEXTJOIN(CHAR(10),TRUE,FILTER('Learning Objectives'!$D$2:$D$500,'Learning Objectives'!$A$2:$A$500="13–16 Years",'Learning Objectives'!$B$2:$B$500=$A152)),""))</f>
        <v/>
      </c>
      <c r="F152" s="11" t="n"/>
      <c r="G152" s="12" t="n"/>
      <c r="H152" s="12" t="n"/>
      <c r="I152" s="11" t="n"/>
      <c r="J152" s="11" t="n"/>
      <c r="K152" s="11" t="n"/>
      <c r="L152" s="12" t="n"/>
      <c r="M152" s="12" t="n"/>
      <c r="N152" s="11" t="n"/>
    </row>
    <row r="153">
      <c r="A153" s="10" t="n"/>
      <c r="B153" s="11" t="n"/>
      <c r="C153" s="12" t="n"/>
      <c r="D153" s="11" t="n"/>
      <c r="E153" s="13">
        <f>IF($A153="","",IFERROR(TEXTJOIN(CHAR(10),TRUE,FILTER('Learning Objectives'!$D$2:$D$500,'Learning Objectives'!$A$2:$A$500="13–16 Years",'Learning Objectives'!$B$2:$B$500=$A153)),""))</f>
        <v/>
      </c>
      <c r="F153" s="11" t="n"/>
      <c r="G153" s="12" t="n"/>
      <c r="H153" s="12" t="n"/>
      <c r="I153" s="11" t="n"/>
      <c r="J153" s="11" t="n"/>
      <c r="K153" s="11" t="n"/>
      <c r="L153" s="12" t="n"/>
      <c r="M153" s="12" t="n"/>
      <c r="N153" s="11" t="n"/>
    </row>
    <row r="154">
      <c r="A154" s="10" t="n"/>
      <c r="B154" s="11" t="n"/>
      <c r="C154" s="12" t="n"/>
      <c r="D154" s="11" t="n"/>
      <c r="E154" s="13">
        <f>IF($A154="","",IFERROR(TEXTJOIN(CHAR(10),TRUE,FILTER('Learning Objectives'!$D$2:$D$500,'Learning Objectives'!$A$2:$A$500="13–16 Years",'Learning Objectives'!$B$2:$B$500=$A154)),""))</f>
        <v/>
      </c>
      <c r="F154" s="11" t="n"/>
      <c r="G154" s="12" t="n"/>
      <c r="H154" s="12" t="n"/>
      <c r="I154" s="11" t="n"/>
      <c r="J154" s="11" t="n"/>
      <c r="K154" s="11" t="n"/>
      <c r="L154" s="12" t="n"/>
      <c r="M154" s="12" t="n"/>
      <c r="N154" s="11" t="n"/>
    </row>
    <row r="155">
      <c r="A155" s="10" t="n"/>
      <c r="B155" s="11" t="n"/>
      <c r="C155" s="12" t="n"/>
      <c r="D155" s="11" t="n"/>
      <c r="E155" s="13">
        <f>IF($A155="","",IFERROR(TEXTJOIN(CHAR(10),TRUE,FILTER('Learning Objectives'!$D$2:$D$500,'Learning Objectives'!$A$2:$A$500="13–16 Years",'Learning Objectives'!$B$2:$B$500=$A155)),""))</f>
        <v/>
      </c>
      <c r="F155" s="11" t="n"/>
      <c r="G155" s="12" t="n"/>
      <c r="H155" s="12" t="n"/>
      <c r="I155" s="11" t="n"/>
      <c r="J155" s="11" t="n"/>
      <c r="K155" s="11" t="n"/>
      <c r="L155" s="12" t="n"/>
      <c r="M155" s="12" t="n"/>
      <c r="N155" s="11" t="n"/>
    </row>
    <row r="156">
      <c r="A156" s="10" t="n"/>
      <c r="B156" s="11" t="n"/>
      <c r="C156" s="12" t="n"/>
      <c r="D156" s="11" t="n"/>
      <c r="E156" s="13">
        <f>IF($A156="","",IFERROR(TEXTJOIN(CHAR(10),TRUE,FILTER('Learning Objectives'!$D$2:$D$500,'Learning Objectives'!$A$2:$A$500="13–16 Years",'Learning Objectives'!$B$2:$B$500=$A156)),""))</f>
        <v/>
      </c>
      <c r="F156" s="11" t="n"/>
      <c r="G156" s="12" t="n"/>
      <c r="H156" s="12" t="n"/>
      <c r="I156" s="11" t="n"/>
      <c r="J156" s="11" t="n"/>
      <c r="K156" s="11" t="n"/>
      <c r="L156" s="12" t="n"/>
      <c r="M156" s="12" t="n"/>
      <c r="N156" s="11" t="n"/>
    </row>
    <row r="157">
      <c r="A157" s="10" t="n"/>
      <c r="B157" s="11" t="n"/>
      <c r="C157" s="12" t="n"/>
      <c r="D157" s="11" t="n"/>
      <c r="E157" s="13">
        <f>IF($A157="","",IFERROR(TEXTJOIN(CHAR(10),TRUE,FILTER('Learning Objectives'!$D$2:$D$500,'Learning Objectives'!$A$2:$A$500="13–16 Years",'Learning Objectives'!$B$2:$B$500=$A157)),""))</f>
        <v/>
      </c>
      <c r="F157" s="11" t="n"/>
      <c r="G157" s="12" t="n"/>
      <c r="H157" s="12" t="n"/>
      <c r="I157" s="11" t="n"/>
      <c r="J157" s="11" t="n"/>
      <c r="K157" s="11" t="n"/>
      <c r="L157" s="12" t="n"/>
      <c r="M157" s="12" t="n"/>
      <c r="N157" s="11" t="n"/>
    </row>
    <row r="158">
      <c r="A158" s="10" t="n"/>
      <c r="B158" s="11" t="n"/>
      <c r="C158" s="12" t="n"/>
      <c r="D158" s="11" t="n"/>
      <c r="E158" s="13">
        <f>IF($A158="","",IFERROR(TEXTJOIN(CHAR(10),TRUE,FILTER('Learning Objectives'!$D$2:$D$500,'Learning Objectives'!$A$2:$A$500="13–16 Years",'Learning Objectives'!$B$2:$B$500=$A158)),""))</f>
        <v/>
      </c>
      <c r="F158" s="11" t="n"/>
      <c r="G158" s="12" t="n"/>
      <c r="H158" s="12" t="n"/>
      <c r="I158" s="11" t="n"/>
      <c r="J158" s="11" t="n"/>
      <c r="K158" s="11" t="n"/>
      <c r="L158" s="12" t="n"/>
      <c r="M158" s="12" t="n"/>
      <c r="N158" s="11" t="n"/>
    </row>
    <row r="159">
      <c r="A159" s="10" t="n"/>
      <c r="B159" s="11" t="n"/>
      <c r="C159" s="12" t="n"/>
      <c r="D159" s="11" t="n"/>
      <c r="E159" s="13">
        <f>IF($A159="","",IFERROR(TEXTJOIN(CHAR(10),TRUE,FILTER('Learning Objectives'!$D$2:$D$500,'Learning Objectives'!$A$2:$A$500="13–16 Years",'Learning Objectives'!$B$2:$B$500=$A159)),""))</f>
        <v/>
      </c>
      <c r="F159" s="11" t="n"/>
      <c r="G159" s="12" t="n"/>
      <c r="H159" s="12" t="n"/>
      <c r="I159" s="11" t="n"/>
      <c r="J159" s="11" t="n"/>
      <c r="K159" s="11" t="n"/>
      <c r="L159" s="12" t="n"/>
      <c r="M159" s="12" t="n"/>
      <c r="N159" s="11" t="n"/>
    </row>
    <row r="160">
      <c r="A160" s="10" t="n"/>
      <c r="B160" s="11" t="n"/>
      <c r="C160" s="12" t="n"/>
      <c r="D160" s="11" t="n"/>
      <c r="E160" s="13">
        <f>IF($A160="","",IFERROR(TEXTJOIN(CHAR(10),TRUE,FILTER('Learning Objectives'!$D$2:$D$500,'Learning Objectives'!$A$2:$A$500="13–16 Years",'Learning Objectives'!$B$2:$B$500=$A160)),""))</f>
        <v/>
      </c>
      <c r="F160" s="11" t="n"/>
      <c r="G160" s="12" t="n"/>
      <c r="H160" s="12" t="n"/>
      <c r="I160" s="11" t="n"/>
      <c r="J160" s="11" t="n"/>
      <c r="K160" s="11" t="n"/>
      <c r="L160" s="12" t="n"/>
      <c r="M160" s="12" t="n"/>
      <c r="N160" s="11" t="n"/>
    </row>
    <row r="161">
      <c r="A161" s="10" t="n"/>
      <c r="B161" s="11" t="n"/>
      <c r="C161" s="12" t="n"/>
      <c r="D161" s="11" t="n"/>
      <c r="E161" s="13">
        <f>IF($A161="","",IFERROR(TEXTJOIN(CHAR(10),TRUE,FILTER('Learning Objectives'!$D$2:$D$500,'Learning Objectives'!$A$2:$A$500="13–16 Years",'Learning Objectives'!$B$2:$B$500=$A161)),""))</f>
        <v/>
      </c>
      <c r="F161" s="11" t="n"/>
      <c r="G161" s="12" t="n"/>
      <c r="H161" s="12" t="n"/>
      <c r="I161" s="11" t="n"/>
      <c r="J161" s="11" t="n"/>
      <c r="K161" s="11" t="n"/>
      <c r="L161" s="12" t="n"/>
      <c r="M161" s="12" t="n"/>
      <c r="N161" s="11" t="n"/>
    </row>
    <row r="162">
      <c r="A162" s="10" t="n"/>
      <c r="B162" s="11" t="n"/>
      <c r="C162" s="12" t="n"/>
      <c r="D162" s="11" t="n"/>
      <c r="E162" s="13">
        <f>IF($A162="","",IFERROR(TEXTJOIN(CHAR(10),TRUE,FILTER('Learning Objectives'!$D$2:$D$500,'Learning Objectives'!$A$2:$A$500="13–16 Years",'Learning Objectives'!$B$2:$B$500=$A162)),""))</f>
        <v/>
      </c>
      <c r="F162" s="11" t="n"/>
      <c r="G162" s="12" t="n"/>
      <c r="H162" s="12" t="n"/>
      <c r="I162" s="11" t="n"/>
      <c r="J162" s="11" t="n"/>
      <c r="K162" s="11" t="n"/>
      <c r="L162" s="12" t="n"/>
      <c r="M162" s="12" t="n"/>
      <c r="N162" s="11" t="n"/>
    </row>
    <row r="163">
      <c r="A163" s="10" t="n"/>
      <c r="B163" s="11" t="n"/>
      <c r="C163" s="12" t="n"/>
      <c r="D163" s="11" t="n"/>
      <c r="E163" s="13">
        <f>IF($A163="","",IFERROR(TEXTJOIN(CHAR(10),TRUE,FILTER('Learning Objectives'!$D$2:$D$500,'Learning Objectives'!$A$2:$A$500="13–16 Years",'Learning Objectives'!$B$2:$B$500=$A163)),""))</f>
        <v/>
      </c>
      <c r="F163" s="11" t="n"/>
      <c r="G163" s="12" t="n"/>
      <c r="H163" s="12" t="n"/>
      <c r="I163" s="11" t="n"/>
      <c r="J163" s="11" t="n"/>
      <c r="K163" s="11" t="n"/>
      <c r="L163" s="12" t="n"/>
      <c r="M163" s="12" t="n"/>
      <c r="N163" s="11" t="n"/>
    </row>
    <row r="164">
      <c r="A164" s="10" t="n"/>
      <c r="B164" s="11" t="n"/>
      <c r="C164" s="12" t="n"/>
      <c r="D164" s="11" t="n"/>
      <c r="E164" s="13">
        <f>IF($A164="","",IFERROR(TEXTJOIN(CHAR(10),TRUE,FILTER('Learning Objectives'!$D$2:$D$500,'Learning Objectives'!$A$2:$A$500="13–16 Years",'Learning Objectives'!$B$2:$B$500=$A164)),""))</f>
        <v/>
      </c>
      <c r="F164" s="11" t="n"/>
      <c r="G164" s="12" t="n"/>
      <c r="H164" s="12" t="n"/>
      <c r="I164" s="11" t="n"/>
      <c r="J164" s="11" t="n"/>
      <c r="K164" s="11" t="n"/>
      <c r="L164" s="12" t="n"/>
      <c r="M164" s="12" t="n"/>
      <c r="N164" s="11" t="n"/>
    </row>
    <row r="165">
      <c r="A165" s="10" t="n"/>
      <c r="B165" s="11" t="n"/>
      <c r="C165" s="12" t="n"/>
      <c r="D165" s="11" t="n"/>
      <c r="E165" s="13">
        <f>IF($A165="","",IFERROR(TEXTJOIN(CHAR(10),TRUE,FILTER('Learning Objectives'!$D$2:$D$500,'Learning Objectives'!$A$2:$A$500="13–16 Years",'Learning Objectives'!$B$2:$B$500=$A165)),""))</f>
        <v/>
      </c>
      <c r="F165" s="11" t="n"/>
      <c r="G165" s="12" t="n"/>
      <c r="H165" s="12" t="n"/>
      <c r="I165" s="11" t="n"/>
      <c r="J165" s="11" t="n"/>
      <c r="K165" s="11" t="n"/>
      <c r="L165" s="12" t="n"/>
      <c r="M165" s="12" t="n"/>
      <c r="N165" s="11" t="n"/>
    </row>
    <row r="166">
      <c r="A166" s="10" t="n"/>
      <c r="B166" s="11" t="n"/>
      <c r="C166" s="12" t="n"/>
      <c r="D166" s="11" t="n"/>
      <c r="E166" s="13">
        <f>IF($A166="","",IFERROR(TEXTJOIN(CHAR(10),TRUE,FILTER('Learning Objectives'!$D$2:$D$500,'Learning Objectives'!$A$2:$A$500="13–16 Years",'Learning Objectives'!$B$2:$B$500=$A166)),""))</f>
        <v/>
      </c>
      <c r="F166" s="11" t="n"/>
      <c r="G166" s="12" t="n"/>
      <c r="H166" s="12" t="n"/>
      <c r="I166" s="11" t="n"/>
      <c r="J166" s="11" t="n"/>
      <c r="K166" s="11" t="n"/>
      <c r="L166" s="12" t="n"/>
      <c r="M166" s="12" t="n"/>
      <c r="N166" s="11" t="n"/>
    </row>
    <row r="167">
      <c r="A167" s="10" t="n"/>
      <c r="B167" s="11" t="n"/>
      <c r="C167" s="12" t="n"/>
      <c r="D167" s="11" t="n"/>
      <c r="E167" s="13">
        <f>IF($A167="","",IFERROR(TEXTJOIN(CHAR(10),TRUE,FILTER('Learning Objectives'!$D$2:$D$500,'Learning Objectives'!$A$2:$A$500="13–16 Years",'Learning Objectives'!$B$2:$B$500=$A167)),""))</f>
        <v/>
      </c>
      <c r="F167" s="11" t="n"/>
      <c r="G167" s="12" t="n"/>
      <c r="H167" s="12" t="n"/>
      <c r="I167" s="11" t="n"/>
      <c r="J167" s="11" t="n"/>
      <c r="K167" s="11" t="n"/>
      <c r="L167" s="12" t="n"/>
      <c r="M167" s="12" t="n"/>
      <c r="N167" s="11" t="n"/>
    </row>
    <row r="168">
      <c r="A168" s="10" t="n"/>
      <c r="B168" s="11" t="n"/>
      <c r="C168" s="12" t="n"/>
      <c r="D168" s="11" t="n"/>
      <c r="E168" s="13">
        <f>IF($A168="","",IFERROR(TEXTJOIN(CHAR(10),TRUE,FILTER('Learning Objectives'!$D$2:$D$500,'Learning Objectives'!$A$2:$A$500="13–16 Years",'Learning Objectives'!$B$2:$B$500=$A168)),""))</f>
        <v/>
      </c>
      <c r="F168" s="11" t="n"/>
      <c r="G168" s="12" t="n"/>
      <c r="H168" s="12" t="n"/>
      <c r="I168" s="11" t="n"/>
      <c r="J168" s="11" t="n"/>
      <c r="K168" s="11" t="n"/>
      <c r="L168" s="12" t="n"/>
      <c r="M168" s="12" t="n"/>
      <c r="N168" s="11" t="n"/>
    </row>
    <row r="169">
      <c r="A169" s="10" t="n"/>
      <c r="B169" s="11" t="n"/>
      <c r="C169" s="12" t="n"/>
      <c r="D169" s="11" t="n"/>
      <c r="E169" s="13">
        <f>IF($A169="","",IFERROR(TEXTJOIN(CHAR(10),TRUE,FILTER('Learning Objectives'!$D$2:$D$500,'Learning Objectives'!$A$2:$A$500="13–16 Years",'Learning Objectives'!$B$2:$B$500=$A169)),""))</f>
        <v/>
      </c>
      <c r="F169" s="11" t="n"/>
      <c r="G169" s="12" t="n"/>
      <c r="H169" s="12" t="n"/>
      <c r="I169" s="11" t="n"/>
      <c r="J169" s="11" t="n"/>
      <c r="K169" s="11" t="n"/>
      <c r="L169" s="12" t="n"/>
      <c r="M169" s="12" t="n"/>
      <c r="N169" s="11" t="n"/>
    </row>
    <row r="170">
      <c r="A170" s="10" t="n"/>
      <c r="B170" s="11" t="n"/>
      <c r="C170" s="12" t="n"/>
      <c r="D170" s="11" t="n"/>
      <c r="E170" s="13">
        <f>IF($A170="","",IFERROR(TEXTJOIN(CHAR(10),TRUE,FILTER('Learning Objectives'!$D$2:$D$500,'Learning Objectives'!$A$2:$A$500="13–16 Years",'Learning Objectives'!$B$2:$B$500=$A170)),""))</f>
        <v/>
      </c>
      <c r="F170" s="11" t="n"/>
      <c r="G170" s="12" t="n"/>
      <c r="H170" s="12" t="n"/>
      <c r="I170" s="11" t="n"/>
      <c r="J170" s="11" t="n"/>
      <c r="K170" s="11" t="n"/>
      <c r="L170" s="12" t="n"/>
      <c r="M170" s="12" t="n"/>
      <c r="N170" s="11" t="n"/>
    </row>
    <row r="171">
      <c r="A171" s="10" t="n"/>
      <c r="B171" s="11" t="n"/>
      <c r="C171" s="12" t="n"/>
      <c r="D171" s="11" t="n"/>
      <c r="E171" s="13">
        <f>IF($A171="","",IFERROR(TEXTJOIN(CHAR(10),TRUE,FILTER('Learning Objectives'!$D$2:$D$500,'Learning Objectives'!$A$2:$A$500="13–16 Years",'Learning Objectives'!$B$2:$B$500=$A171)),""))</f>
        <v/>
      </c>
      <c r="F171" s="11" t="n"/>
      <c r="G171" s="12" t="n"/>
      <c r="H171" s="12" t="n"/>
      <c r="I171" s="11" t="n"/>
      <c r="J171" s="11" t="n"/>
      <c r="K171" s="11" t="n"/>
      <c r="L171" s="12" t="n"/>
      <c r="M171" s="12" t="n"/>
      <c r="N171" s="11" t="n"/>
    </row>
    <row r="172">
      <c r="A172" s="10" t="n"/>
      <c r="B172" s="11" t="n"/>
      <c r="C172" s="12" t="n"/>
      <c r="D172" s="11" t="n"/>
      <c r="E172" s="13">
        <f>IF($A172="","",IFERROR(TEXTJOIN(CHAR(10),TRUE,FILTER('Learning Objectives'!$D$2:$D$500,'Learning Objectives'!$A$2:$A$500="13–16 Years",'Learning Objectives'!$B$2:$B$500=$A172)),""))</f>
        <v/>
      </c>
      <c r="F172" s="11" t="n"/>
      <c r="G172" s="12" t="n"/>
      <c r="H172" s="12" t="n"/>
      <c r="I172" s="11" t="n"/>
      <c r="J172" s="11" t="n"/>
      <c r="K172" s="11" t="n"/>
      <c r="L172" s="12" t="n"/>
      <c r="M172" s="12" t="n"/>
      <c r="N172" s="11" t="n"/>
    </row>
    <row r="173">
      <c r="A173" s="10" t="n"/>
      <c r="B173" s="11" t="n"/>
      <c r="C173" s="12" t="n"/>
      <c r="D173" s="11" t="n"/>
      <c r="E173" s="13">
        <f>IF($A173="","",IFERROR(TEXTJOIN(CHAR(10),TRUE,FILTER('Learning Objectives'!$D$2:$D$500,'Learning Objectives'!$A$2:$A$500="13–16 Years",'Learning Objectives'!$B$2:$B$500=$A173)),""))</f>
        <v/>
      </c>
      <c r="F173" s="11" t="n"/>
      <c r="G173" s="12" t="n"/>
      <c r="H173" s="12" t="n"/>
      <c r="I173" s="11" t="n"/>
      <c r="J173" s="11" t="n"/>
      <c r="K173" s="11" t="n"/>
      <c r="L173" s="12" t="n"/>
      <c r="M173" s="12" t="n"/>
      <c r="N173" s="11" t="n"/>
    </row>
    <row r="174">
      <c r="A174" s="10" t="n"/>
      <c r="B174" s="11" t="n"/>
      <c r="C174" s="12" t="n"/>
      <c r="D174" s="11" t="n"/>
      <c r="E174" s="13">
        <f>IF($A174="","",IFERROR(TEXTJOIN(CHAR(10),TRUE,FILTER('Learning Objectives'!$D$2:$D$500,'Learning Objectives'!$A$2:$A$500="13–16 Years",'Learning Objectives'!$B$2:$B$500=$A174)),""))</f>
        <v/>
      </c>
      <c r="F174" s="11" t="n"/>
      <c r="G174" s="12" t="n"/>
      <c r="H174" s="12" t="n"/>
      <c r="I174" s="11" t="n"/>
      <c r="J174" s="11" t="n"/>
      <c r="K174" s="11" t="n"/>
      <c r="L174" s="12" t="n"/>
      <c r="M174" s="12" t="n"/>
      <c r="N174" s="11" t="n"/>
    </row>
    <row r="175">
      <c r="A175" s="10" t="n"/>
      <c r="B175" s="11" t="n"/>
      <c r="C175" s="12" t="n"/>
      <c r="D175" s="11" t="n"/>
      <c r="E175" s="13">
        <f>IF($A175="","",IFERROR(TEXTJOIN(CHAR(10),TRUE,FILTER('Learning Objectives'!$D$2:$D$500,'Learning Objectives'!$A$2:$A$500="13–16 Years",'Learning Objectives'!$B$2:$B$500=$A175)),""))</f>
        <v/>
      </c>
      <c r="F175" s="11" t="n"/>
      <c r="G175" s="12" t="n"/>
      <c r="H175" s="12" t="n"/>
      <c r="I175" s="11" t="n"/>
      <c r="J175" s="11" t="n"/>
      <c r="K175" s="11" t="n"/>
      <c r="L175" s="12" t="n"/>
      <c r="M175" s="12" t="n"/>
      <c r="N175" s="11" t="n"/>
    </row>
    <row r="176">
      <c r="A176" s="10" t="n"/>
      <c r="B176" s="11" t="n"/>
      <c r="C176" s="12" t="n"/>
      <c r="D176" s="11" t="n"/>
      <c r="E176" s="13">
        <f>IF($A176="","",IFERROR(TEXTJOIN(CHAR(10),TRUE,FILTER('Learning Objectives'!$D$2:$D$500,'Learning Objectives'!$A$2:$A$500="13–16 Years",'Learning Objectives'!$B$2:$B$500=$A176)),""))</f>
        <v/>
      </c>
      <c r="F176" s="11" t="n"/>
      <c r="G176" s="12" t="n"/>
      <c r="H176" s="12" t="n"/>
      <c r="I176" s="11" t="n"/>
      <c r="J176" s="11" t="n"/>
      <c r="K176" s="11" t="n"/>
      <c r="L176" s="12" t="n"/>
      <c r="M176" s="12" t="n"/>
      <c r="N176" s="11" t="n"/>
    </row>
    <row r="177">
      <c r="A177" s="10" t="n"/>
      <c r="B177" s="11" t="n"/>
      <c r="C177" s="12" t="n"/>
      <c r="D177" s="11" t="n"/>
      <c r="E177" s="13">
        <f>IF($A177="","",IFERROR(TEXTJOIN(CHAR(10),TRUE,FILTER('Learning Objectives'!$D$2:$D$500,'Learning Objectives'!$A$2:$A$500="13–16 Years",'Learning Objectives'!$B$2:$B$500=$A177)),""))</f>
        <v/>
      </c>
      <c r="F177" s="11" t="n"/>
      <c r="G177" s="12" t="n"/>
      <c r="H177" s="12" t="n"/>
      <c r="I177" s="11" t="n"/>
      <c r="J177" s="11" t="n"/>
      <c r="K177" s="11" t="n"/>
      <c r="L177" s="12" t="n"/>
      <c r="M177" s="12" t="n"/>
      <c r="N177" s="11" t="n"/>
    </row>
    <row r="178">
      <c r="A178" s="10" t="n"/>
      <c r="B178" s="11" t="n"/>
      <c r="C178" s="12" t="n"/>
      <c r="D178" s="11" t="n"/>
      <c r="E178" s="13">
        <f>IF($A178="","",IFERROR(TEXTJOIN(CHAR(10),TRUE,FILTER('Learning Objectives'!$D$2:$D$500,'Learning Objectives'!$A$2:$A$500="13–16 Years",'Learning Objectives'!$B$2:$B$500=$A178)),""))</f>
        <v/>
      </c>
      <c r="F178" s="11" t="n"/>
      <c r="G178" s="12" t="n"/>
      <c r="H178" s="12" t="n"/>
      <c r="I178" s="11" t="n"/>
      <c r="J178" s="11" t="n"/>
      <c r="K178" s="11" t="n"/>
      <c r="L178" s="12" t="n"/>
      <c r="M178" s="12" t="n"/>
      <c r="N178" s="11" t="n"/>
    </row>
    <row r="179">
      <c r="A179" s="10" t="n"/>
      <c r="B179" s="11" t="n"/>
      <c r="C179" s="12" t="n"/>
      <c r="D179" s="11" t="n"/>
      <c r="E179" s="13">
        <f>IF($A179="","",IFERROR(TEXTJOIN(CHAR(10),TRUE,FILTER('Learning Objectives'!$D$2:$D$500,'Learning Objectives'!$A$2:$A$500="13–16 Years",'Learning Objectives'!$B$2:$B$500=$A179)),""))</f>
        <v/>
      </c>
      <c r="F179" s="11" t="n"/>
      <c r="G179" s="12" t="n"/>
      <c r="H179" s="12" t="n"/>
      <c r="I179" s="11" t="n"/>
      <c r="J179" s="11" t="n"/>
      <c r="K179" s="11" t="n"/>
      <c r="L179" s="12" t="n"/>
      <c r="M179" s="12" t="n"/>
      <c r="N179" s="11" t="n"/>
    </row>
    <row r="180">
      <c r="A180" s="10" t="n"/>
      <c r="B180" s="11" t="n"/>
      <c r="C180" s="12" t="n"/>
      <c r="D180" s="11" t="n"/>
      <c r="E180" s="13">
        <f>IF($A180="","",IFERROR(TEXTJOIN(CHAR(10),TRUE,FILTER('Learning Objectives'!$D$2:$D$500,'Learning Objectives'!$A$2:$A$500="13–16 Years",'Learning Objectives'!$B$2:$B$500=$A180)),""))</f>
        <v/>
      </c>
      <c r="F180" s="11" t="n"/>
      <c r="G180" s="12" t="n"/>
      <c r="H180" s="12" t="n"/>
      <c r="I180" s="11" t="n"/>
      <c r="J180" s="11" t="n"/>
      <c r="K180" s="11" t="n"/>
      <c r="L180" s="12" t="n"/>
      <c r="M180" s="12" t="n"/>
      <c r="N180" s="11" t="n"/>
    </row>
    <row r="181">
      <c r="A181" s="10" t="n"/>
      <c r="B181" s="11" t="n"/>
      <c r="C181" s="12" t="n"/>
      <c r="D181" s="11" t="n"/>
      <c r="E181" s="13">
        <f>IF($A181="","",IFERROR(TEXTJOIN(CHAR(10),TRUE,FILTER('Learning Objectives'!$D$2:$D$500,'Learning Objectives'!$A$2:$A$500="13–16 Years",'Learning Objectives'!$B$2:$B$500=$A181)),""))</f>
        <v/>
      </c>
      <c r="F181" s="11" t="n"/>
      <c r="G181" s="12" t="n"/>
      <c r="H181" s="12" t="n"/>
      <c r="I181" s="11" t="n"/>
      <c r="J181" s="11" t="n"/>
      <c r="K181" s="11" t="n"/>
      <c r="L181" s="12" t="n"/>
      <c r="M181" s="12" t="n"/>
      <c r="N181" s="11" t="n"/>
    </row>
    <row r="182">
      <c r="A182" s="10" t="n"/>
      <c r="B182" s="11" t="n"/>
      <c r="C182" s="12" t="n"/>
      <c r="D182" s="11" t="n"/>
      <c r="E182" s="13">
        <f>IF($A182="","",IFERROR(TEXTJOIN(CHAR(10),TRUE,FILTER('Learning Objectives'!$D$2:$D$500,'Learning Objectives'!$A$2:$A$500="13–16 Years",'Learning Objectives'!$B$2:$B$500=$A182)),""))</f>
        <v/>
      </c>
      <c r="F182" s="11" t="n"/>
      <c r="G182" s="12" t="n"/>
      <c r="H182" s="12" t="n"/>
      <c r="I182" s="11" t="n"/>
      <c r="J182" s="11" t="n"/>
      <c r="K182" s="11" t="n"/>
      <c r="L182" s="12" t="n"/>
      <c r="M182" s="12" t="n"/>
      <c r="N182" s="11" t="n"/>
    </row>
    <row r="183">
      <c r="A183" s="10" t="n"/>
      <c r="B183" s="11" t="n"/>
      <c r="C183" s="12" t="n"/>
      <c r="D183" s="11" t="n"/>
      <c r="E183" s="13">
        <f>IF($A183="","",IFERROR(TEXTJOIN(CHAR(10),TRUE,FILTER('Learning Objectives'!$D$2:$D$500,'Learning Objectives'!$A$2:$A$500="13–16 Years",'Learning Objectives'!$B$2:$B$500=$A183)),""))</f>
        <v/>
      </c>
      <c r="F183" s="11" t="n"/>
      <c r="G183" s="12" t="n"/>
      <c r="H183" s="12" t="n"/>
      <c r="I183" s="11" t="n"/>
      <c r="J183" s="11" t="n"/>
      <c r="K183" s="11" t="n"/>
      <c r="L183" s="12" t="n"/>
      <c r="M183" s="12" t="n"/>
      <c r="N183" s="11" t="n"/>
    </row>
    <row r="184">
      <c r="A184" s="10" t="n"/>
      <c r="B184" s="11" t="n"/>
      <c r="C184" s="12" t="n"/>
      <c r="D184" s="11" t="n"/>
      <c r="E184" s="13">
        <f>IF($A184="","",IFERROR(TEXTJOIN(CHAR(10),TRUE,FILTER('Learning Objectives'!$D$2:$D$500,'Learning Objectives'!$A$2:$A$500="13–16 Years",'Learning Objectives'!$B$2:$B$500=$A184)),""))</f>
        <v/>
      </c>
      <c r="F184" s="11" t="n"/>
      <c r="G184" s="12" t="n"/>
      <c r="H184" s="12" t="n"/>
      <c r="I184" s="11" t="n"/>
      <c r="J184" s="11" t="n"/>
      <c r="K184" s="11" t="n"/>
      <c r="L184" s="12" t="n"/>
      <c r="M184" s="12" t="n"/>
      <c r="N184" s="11" t="n"/>
    </row>
    <row r="185">
      <c r="A185" s="10" t="n"/>
      <c r="B185" s="11" t="n"/>
      <c r="C185" s="12" t="n"/>
      <c r="D185" s="11" t="n"/>
      <c r="E185" s="13">
        <f>IF($A185="","",IFERROR(TEXTJOIN(CHAR(10),TRUE,FILTER('Learning Objectives'!$D$2:$D$500,'Learning Objectives'!$A$2:$A$500="13–16 Years",'Learning Objectives'!$B$2:$B$500=$A185)),""))</f>
        <v/>
      </c>
      <c r="F185" s="11" t="n"/>
      <c r="G185" s="12" t="n"/>
      <c r="H185" s="12" t="n"/>
      <c r="I185" s="11" t="n"/>
      <c r="J185" s="11" t="n"/>
      <c r="K185" s="11" t="n"/>
      <c r="L185" s="12" t="n"/>
      <c r="M185" s="12" t="n"/>
      <c r="N185" s="11" t="n"/>
    </row>
    <row r="186">
      <c r="A186" s="10" t="n"/>
      <c r="B186" s="11" t="n"/>
      <c r="C186" s="12" t="n"/>
      <c r="D186" s="11" t="n"/>
      <c r="E186" s="13">
        <f>IF($A186="","",IFERROR(TEXTJOIN(CHAR(10),TRUE,FILTER('Learning Objectives'!$D$2:$D$500,'Learning Objectives'!$A$2:$A$500="13–16 Years",'Learning Objectives'!$B$2:$B$500=$A186)),""))</f>
        <v/>
      </c>
      <c r="F186" s="11" t="n"/>
      <c r="G186" s="12" t="n"/>
      <c r="H186" s="12" t="n"/>
      <c r="I186" s="11" t="n"/>
      <c r="J186" s="11" t="n"/>
      <c r="K186" s="11" t="n"/>
      <c r="L186" s="12" t="n"/>
      <c r="M186" s="12" t="n"/>
      <c r="N186" s="11" t="n"/>
    </row>
    <row r="187">
      <c r="A187" s="10" t="n"/>
      <c r="B187" s="11" t="n"/>
      <c r="C187" s="12" t="n"/>
      <c r="D187" s="11" t="n"/>
      <c r="E187" s="13">
        <f>IF($A187="","",IFERROR(TEXTJOIN(CHAR(10),TRUE,FILTER('Learning Objectives'!$D$2:$D$500,'Learning Objectives'!$A$2:$A$500="13–16 Years",'Learning Objectives'!$B$2:$B$500=$A187)),""))</f>
        <v/>
      </c>
      <c r="F187" s="11" t="n"/>
      <c r="G187" s="12" t="n"/>
      <c r="H187" s="12" t="n"/>
      <c r="I187" s="11" t="n"/>
      <c r="J187" s="11" t="n"/>
      <c r="K187" s="11" t="n"/>
      <c r="L187" s="12" t="n"/>
      <c r="M187" s="12" t="n"/>
      <c r="N187" s="11" t="n"/>
    </row>
    <row r="188">
      <c r="A188" s="10" t="n"/>
      <c r="B188" s="11" t="n"/>
      <c r="C188" s="12" t="n"/>
      <c r="D188" s="11" t="n"/>
      <c r="E188" s="13">
        <f>IF($A188="","",IFERROR(TEXTJOIN(CHAR(10),TRUE,FILTER('Learning Objectives'!$D$2:$D$500,'Learning Objectives'!$A$2:$A$500="13–16 Years",'Learning Objectives'!$B$2:$B$500=$A188)),""))</f>
        <v/>
      </c>
      <c r="F188" s="11" t="n"/>
      <c r="G188" s="12" t="n"/>
      <c r="H188" s="12" t="n"/>
      <c r="I188" s="11" t="n"/>
      <c r="J188" s="11" t="n"/>
      <c r="K188" s="11" t="n"/>
      <c r="L188" s="12" t="n"/>
      <c r="M188" s="12" t="n"/>
      <c r="N188" s="11" t="n"/>
    </row>
    <row r="189">
      <c r="A189" s="10" t="n"/>
      <c r="B189" s="11" t="n"/>
      <c r="C189" s="12" t="n"/>
      <c r="D189" s="11" t="n"/>
      <c r="E189" s="13">
        <f>IF($A189="","",IFERROR(TEXTJOIN(CHAR(10),TRUE,FILTER('Learning Objectives'!$D$2:$D$500,'Learning Objectives'!$A$2:$A$500="13–16 Years",'Learning Objectives'!$B$2:$B$500=$A189)),""))</f>
        <v/>
      </c>
      <c r="F189" s="11" t="n"/>
      <c r="G189" s="12" t="n"/>
      <c r="H189" s="12" t="n"/>
      <c r="I189" s="11" t="n"/>
      <c r="J189" s="11" t="n"/>
      <c r="K189" s="11" t="n"/>
      <c r="L189" s="12" t="n"/>
      <c r="M189" s="12" t="n"/>
      <c r="N189" s="11" t="n"/>
    </row>
    <row r="190">
      <c r="A190" s="10" t="n"/>
      <c r="B190" s="11" t="n"/>
      <c r="C190" s="12" t="n"/>
      <c r="D190" s="11" t="n"/>
      <c r="E190" s="13">
        <f>IF($A190="","",IFERROR(TEXTJOIN(CHAR(10),TRUE,FILTER('Learning Objectives'!$D$2:$D$500,'Learning Objectives'!$A$2:$A$500="13–16 Years",'Learning Objectives'!$B$2:$B$500=$A190)),""))</f>
        <v/>
      </c>
      <c r="F190" s="11" t="n"/>
      <c r="G190" s="12" t="n"/>
      <c r="H190" s="12" t="n"/>
      <c r="I190" s="11" t="n"/>
      <c r="J190" s="11" t="n"/>
      <c r="K190" s="11" t="n"/>
      <c r="L190" s="12" t="n"/>
      <c r="M190" s="12" t="n"/>
      <c r="N190" s="11" t="n"/>
    </row>
    <row r="191">
      <c r="A191" s="10" t="n"/>
      <c r="B191" s="11" t="n"/>
      <c r="C191" s="12" t="n"/>
      <c r="D191" s="11" t="n"/>
      <c r="E191" s="13">
        <f>IF($A191="","",IFERROR(TEXTJOIN(CHAR(10),TRUE,FILTER('Learning Objectives'!$D$2:$D$500,'Learning Objectives'!$A$2:$A$500="13–16 Years",'Learning Objectives'!$B$2:$B$500=$A191)),""))</f>
        <v/>
      </c>
      <c r="F191" s="11" t="n"/>
      <c r="G191" s="12" t="n"/>
      <c r="H191" s="12" t="n"/>
      <c r="I191" s="11" t="n"/>
      <c r="J191" s="11" t="n"/>
      <c r="K191" s="11" t="n"/>
      <c r="L191" s="12" t="n"/>
      <c r="M191" s="12" t="n"/>
      <c r="N191" s="11" t="n"/>
    </row>
    <row r="192">
      <c r="A192" s="10" t="n"/>
      <c r="B192" s="11" t="n"/>
      <c r="C192" s="12" t="n"/>
      <c r="D192" s="11" t="n"/>
      <c r="E192" s="13">
        <f>IF($A192="","",IFERROR(TEXTJOIN(CHAR(10),TRUE,FILTER('Learning Objectives'!$D$2:$D$500,'Learning Objectives'!$A$2:$A$500="13–16 Years",'Learning Objectives'!$B$2:$B$500=$A192)),""))</f>
        <v/>
      </c>
      <c r="F192" s="11" t="n"/>
      <c r="G192" s="12" t="n"/>
      <c r="H192" s="12" t="n"/>
      <c r="I192" s="11" t="n"/>
      <c r="J192" s="11" t="n"/>
      <c r="K192" s="11" t="n"/>
      <c r="L192" s="12" t="n"/>
      <c r="M192" s="12" t="n"/>
      <c r="N192" s="11" t="n"/>
    </row>
    <row r="193">
      <c r="A193" s="10" t="n"/>
      <c r="B193" s="11" t="n"/>
      <c r="C193" s="12" t="n"/>
      <c r="D193" s="11" t="n"/>
      <c r="E193" s="13">
        <f>IF($A193="","",IFERROR(TEXTJOIN(CHAR(10),TRUE,FILTER('Learning Objectives'!$D$2:$D$500,'Learning Objectives'!$A$2:$A$500="13–16 Years",'Learning Objectives'!$B$2:$B$500=$A193)),""))</f>
        <v/>
      </c>
      <c r="F193" s="11" t="n"/>
      <c r="G193" s="12" t="n"/>
      <c r="H193" s="12" t="n"/>
      <c r="I193" s="11" t="n"/>
      <c r="J193" s="11" t="n"/>
      <c r="K193" s="11" t="n"/>
      <c r="L193" s="12" t="n"/>
      <c r="M193" s="12" t="n"/>
      <c r="N193" s="11" t="n"/>
    </row>
    <row r="194">
      <c r="A194" s="10" t="n"/>
      <c r="B194" s="11" t="n"/>
      <c r="C194" s="12" t="n"/>
      <c r="D194" s="11" t="n"/>
      <c r="E194" s="13">
        <f>IF($A194="","",IFERROR(TEXTJOIN(CHAR(10),TRUE,FILTER('Learning Objectives'!$D$2:$D$500,'Learning Objectives'!$A$2:$A$500="13–16 Years",'Learning Objectives'!$B$2:$B$500=$A194)),""))</f>
        <v/>
      </c>
      <c r="F194" s="11" t="n"/>
      <c r="G194" s="12" t="n"/>
      <c r="H194" s="12" t="n"/>
      <c r="I194" s="11" t="n"/>
      <c r="J194" s="11" t="n"/>
      <c r="K194" s="11" t="n"/>
      <c r="L194" s="12" t="n"/>
      <c r="M194" s="12" t="n"/>
      <c r="N194" s="11" t="n"/>
    </row>
    <row r="195">
      <c r="A195" s="10" t="n"/>
      <c r="B195" s="11" t="n"/>
      <c r="C195" s="12" t="n"/>
      <c r="D195" s="11" t="n"/>
      <c r="E195" s="13">
        <f>IF($A195="","",IFERROR(TEXTJOIN(CHAR(10),TRUE,FILTER('Learning Objectives'!$D$2:$D$500,'Learning Objectives'!$A$2:$A$500="13–16 Years",'Learning Objectives'!$B$2:$B$500=$A195)),""))</f>
        <v/>
      </c>
      <c r="F195" s="11" t="n"/>
      <c r="G195" s="12" t="n"/>
      <c r="H195" s="12" t="n"/>
      <c r="I195" s="11" t="n"/>
      <c r="J195" s="11" t="n"/>
      <c r="K195" s="11" t="n"/>
      <c r="L195" s="12" t="n"/>
      <c r="M195" s="12" t="n"/>
      <c r="N195" s="11" t="n"/>
    </row>
    <row r="196">
      <c r="A196" s="10" t="n"/>
      <c r="B196" s="11" t="n"/>
      <c r="C196" s="12" t="n"/>
      <c r="D196" s="11" t="n"/>
      <c r="E196" s="13">
        <f>IF($A196="","",IFERROR(TEXTJOIN(CHAR(10),TRUE,FILTER('Learning Objectives'!$D$2:$D$500,'Learning Objectives'!$A$2:$A$500="13–16 Years",'Learning Objectives'!$B$2:$B$500=$A196)),""))</f>
        <v/>
      </c>
      <c r="F196" s="11" t="n"/>
      <c r="G196" s="12" t="n"/>
      <c r="H196" s="12" t="n"/>
      <c r="I196" s="11" t="n"/>
      <c r="J196" s="11" t="n"/>
      <c r="K196" s="11" t="n"/>
      <c r="L196" s="12" t="n"/>
      <c r="M196" s="12" t="n"/>
      <c r="N196" s="11" t="n"/>
    </row>
    <row r="197">
      <c r="A197" s="10" t="n"/>
      <c r="B197" s="11" t="n"/>
      <c r="C197" s="12" t="n"/>
      <c r="D197" s="11" t="n"/>
      <c r="E197" s="13">
        <f>IF($A197="","",IFERROR(TEXTJOIN(CHAR(10),TRUE,FILTER('Learning Objectives'!$D$2:$D$500,'Learning Objectives'!$A$2:$A$500="13–16 Years",'Learning Objectives'!$B$2:$B$500=$A197)),""))</f>
        <v/>
      </c>
      <c r="F197" s="11" t="n"/>
      <c r="G197" s="12" t="n"/>
      <c r="H197" s="12" t="n"/>
      <c r="I197" s="11" t="n"/>
      <c r="J197" s="11" t="n"/>
      <c r="K197" s="11" t="n"/>
      <c r="L197" s="12" t="n"/>
      <c r="M197" s="12" t="n"/>
      <c r="N197" s="11" t="n"/>
    </row>
    <row r="198">
      <c r="A198" s="10" t="n"/>
      <c r="B198" s="11" t="n"/>
      <c r="C198" s="12" t="n"/>
      <c r="D198" s="11" t="n"/>
      <c r="E198" s="13">
        <f>IF($A198="","",IFERROR(TEXTJOIN(CHAR(10),TRUE,FILTER('Learning Objectives'!$D$2:$D$500,'Learning Objectives'!$A$2:$A$500="13–16 Years",'Learning Objectives'!$B$2:$B$500=$A198)),""))</f>
        <v/>
      </c>
      <c r="F198" s="11" t="n"/>
      <c r="G198" s="12" t="n"/>
      <c r="H198" s="12" t="n"/>
      <c r="I198" s="11" t="n"/>
      <c r="J198" s="11" t="n"/>
      <c r="K198" s="11" t="n"/>
      <c r="L198" s="12" t="n"/>
      <c r="M198" s="12" t="n"/>
      <c r="N198" s="11" t="n"/>
    </row>
    <row r="199">
      <c r="A199" s="10" t="n"/>
      <c r="B199" s="11" t="n"/>
      <c r="C199" s="12" t="n"/>
      <c r="D199" s="11" t="n"/>
      <c r="E199" s="13">
        <f>IF($A199="","",IFERROR(TEXTJOIN(CHAR(10),TRUE,FILTER('Learning Objectives'!$D$2:$D$500,'Learning Objectives'!$A$2:$A$500="13–16 Years",'Learning Objectives'!$B$2:$B$500=$A199)),""))</f>
        <v/>
      </c>
      <c r="F199" s="11" t="n"/>
      <c r="G199" s="12" t="n"/>
      <c r="H199" s="12" t="n"/>
      <c r="I199" s="11" t="n"/>
      <c r="J199" s="11" t="n"/>
      <c r="K199" s="11" t="n"/>
      <c r="L199" s="12" t="n"/>
      <c r="M199" s="12" t="n"/>
      <c r="N199" s="11" t="n"/>
    </row>
    <row r="200">
      <c r="A200" s="10" t="n"/>
      <c r="B200" s="11" t="n"/>
      <c r="C200" s="12" t="n"/>
      <c r="D200" s="11" t="n"/>
      <c r="E200" s="13">
        <f>IF($A200="","",IFERROR(TEXTJOIN(CHAR(10),TRUE,FILTER('Learning Objectives'!$D$2:$D$500,'Learning Objectives'!$A$2:$A$500="13–16 Years",'Learning Objectives'!$B$2:$B$500=$A200)),""))</f>
        <v/>
      </c>
      <c r="F200" s="11" t="n"/>
      <c r="G200" s="12" t="n"/>
      <c r="H200" s="12" t="n"/>
      <c r="I200" s="11" t="n"/>
      <c r="J200" s="11" t="n"/>
      <c r="K200" s="11" t="n"/>
      <c r="L200" s="12" t="n"/>
      <c r="M200" s="12" t="n"/>
      <c r="N200" s="11" t="n"/>
    </row>
    <row r="201">
      <c r="A201" s="10" t="n"/>
      <c r="B201" s="11" t="n"/>
      <c r="C201" s="12" t="n"/>
      <c r="D201" s="11" t="n"/>
      <c r="E201" s="13">
        <f>IF($A201="","",IFERROR(TEXTJOIN(CHAR(10),TRUE,FILTER('Learning Objectives'!$D$2:$D$500,'Learning Objectives'!$A$2:$A$500="13–16 Years",'Learning Objectives'!$B$2:$B$500=$A201)),""))</f>
        <v/>
      </c>
      <c r="F201" s="11" t="n"/>
      <c r="G201" s="12" t="n"/>
      <c r="H201" s="12" t="n"/>
      <c r="I201" s="11" t="n"/>
      <c r="J201" s="11" t="n"/>
      <c r="K201" s="11" t="n"/>
      <c r="L201" s="12" t="n"/>
      <c r="M201" s="12" t="n"/>
      <c r="N201" s="11" t="n"/>
    </row>
  </sheetData>
  <autoFilter ref="A1:N1"/>
  <dataValidations count="2">
    <dataValidation sqref="K2:K201" showDropDown="0" showInputMessage="0" showErrorMessage="0" allowBlank="1" error="Pick one of the listed values." type="list">
      <formula1>"Pick the right one,Match things together,Put things in order,Explore and find"</formula1>
    </dataValidation>
    <dataValidation sqref="M2:M201" showDropDown="0" showInputMessage="0" showErrorMessage="1" allowBlank="1" error="Pick one of the listed values." type="list">
      <formula1>"Draft,Ready for Review,Published"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1"/>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4" customWidth="1" min="3" max="3"/>
    <col width="62" customWidth="1" min="4" max="4"/>
    <col width="14" customWidth="1" min="5" max="5"/>
    <col width="40" customWidth="1" min="6" max="6"/>
  </cols>
  <sheetData>
    <row r="1" ht="42" customHeight="1">
      <c r="A1" s="9" t="inlineStr">
        <is>
          <t>Class</t>
        </is>
      </c>
      <c r="B1" s="9" t="inlineStr">
        <is>
          <t>Chapter</t>
        </is>
      </c>
      <c r="C1" s="9" t="inlineStr">
        <is>
          <t>Objective ID</t>
        </is>
      </c>
      <c r="D1" s="9" t="inlineStr">
        <is>
          <t>Learning Objective</t>
        </is>
      </c>
      <c r="E1" s="9" t="inlineStr">
        <is>
          <t>Priority</t>
        </is>
      </c>
      <c r="F1" s="9" t="inlineStr">
        <is>
          <t>Notes</t>
        </is>
      </c>
    </row>
    <row r="2" ht="46" customHeight="1">
      <c r="A2" s="12" t="inlineStr">
        <is>
          <t>6–7 Years</t>
        </is>
      </c>
      <c r="B2" s="10" t="n">
        <v>1</v>
      </c>
      <c r="C2" s="14">
        <f>IF(OR($A2="",$B2=""),"",TEXT($B2,"00")&amp;"."&amp;COUNTIFS($A$2:$A2,$A2,$B$2:$B2,$B2))</f>
        <v/>
      </c>
      <c r="D2" s="11" t="inlineStr">
        <is>
          <t>Recall who was waiting at the temple to see Jesus.</t>
        </is>
      </c>
      <c r="E2" s="10" t="inlineStr">
        <is>
          <t>Core</t>
        </is>
      </c>
      <c r="F2" s="11" t="inlineStr">
        <is>
          <t>Derived from a game the chapter already contains — not supplied by a contributor.</t>
        </is>
      </c>
    </row>
    <row r="3" ht="46" customHeight="1">
      <c r="A3" s="12" t="inlineStr">
        <is>
          <t>6–7 Years</t>
        </is>
      </c>
      <c r="B3" s="10" t="n">
        <v>2</v>
      </c>
      <c r="C3" s="14">
        <f>IF(OR($A3="",$B3=""),"",TEXT($B3,"00")&amp;"."&amp;COUNTIFS($A$2:$A3,$A3,$B$2:$B3,$B3))</f>
        <v/>
      </c>
      <c r="D3" s="11" t="inlineStr">
        <is>
          <t>Recall how Stephen helped people.</t>
        </is>
      </c>
      <c r="E3" s="10" t="inlineStr">
        <is>
          <t>Core</t>
        </is>
      </c>
      <c r="F3" s="11" t="inlineStr">
        <is>
          <t>Derived from a game the chapter already contains — not supplied by a contributor.</t>
        </is>
      </c>
    </row>
    <row r="4" ht="46" customHeight="1">
      <c r="A4" s="12" t="inlineStr">
        <is>
          <t>6–7 Years</t>
        </is>
      </c>
      <c r="B4" s="10" t="n">
        <v>2</v>
      </c>
      <c r="C4" s="14">
        <f>IF(OR($A4="",$B4=""),"",TEXT($B4,"00")&amp;"."&amp;COUNTIFS($A$2:$A4,$A4,$B$2:$B4,$B4))</f>
        <v/>
      </c>
      <c r="D4" s="11" t="inlineStr">
        <is>
          <t>Remember what Stephen prayed for the people who hurt him.</t>
        </is>
      </c>
      <c r="E4" s="10" t="inlineStr">
        <is>
          <t>Core</t>
        </is>
      </c>
      <c r="F4" s="11" t="inlineStr">
        <is>
          <t>Derived from a game the chapter already contains — not supplied by a contributor.</t>
        </is>
      </c>
    </row>
    <row r="5" ht="46" customHeight="1">
      <c r="A5" s="12" t="inlineStr">
        <is>
          <t>6–7 Years</t>
        </is>
      </c>
      <c r="B5" s="10" t="n">
        <v>2</v>
      </c>
      <c r="C5" s="14">
        <f>IF(OR($A5="",$B5=""),"",TEXT($B5,"00")&amp;"."&amp;COUNTIFS($A$2:$A5,$A5,$B$2:$B5,$B5))</f>
        <v/>
      </c>
      <c r="D5" s="11" t="inlineStr">
        <is>
          <t>Understand the order the events happened in.</t>
        </is>
      </c>
      <c r="E5" s="10" t="inlineStr">
        <is>
          <t>Supporting</t>
        </is>
      </c>
      <c r="F5" s="11" t="inlineStr">
        <is>
          <t>Derived from the chapter’s existing sequence activity.</t>
        </is>
      </c>
    </row>
    <row r="6">
      <c r="A6" s="12" t="n"/>
      <c r="B6" s="10" t="n"/>
      <c r="C6" s="14">
        <f>IF(OR($A6="",$B6=""),"",TEXT($B6,"00")&amp;"."&amp;COUNTIFS($A$2:$A6,$A6,$B$2:$B6,$B6))</f>
        <v/>
      </c>
      <c r="D6" s="11" t="n"/>
      <c r="E6" s="10" t="n"/>
      <c r="F6" s="11" t="n"/>
    </row>
    <row r="7">
      <c r="A7" s="12" t="n"/>
      <c r="B7" s="10" t="n"/>
      <c r="C7" s="14">
        <f>IF(OR($A7="",$B7=""),"",TEXT($B7,"00")&amp;"."&amp;COUNTIFS($A$2:$A7,$A7,$B$2:$B7,$B7))</f>
        <v/>
      </c>
      <c r="D7" s="11" t="n"/>
      <c r="E7" s="10" t="n"/>
      <c r="F7" s="11" t="n"/>
    </row>
    <row r="8">
      <c r="A8" s="12" t="n"/>
      <c r="B8" s="10" t="n"/>
      <c r="C8" s="14">
        <f>IF(OR($A8="",$B8=""),"",TEXT($B8,"00")&amp;"."&amp;COUNTIFS($A$2:$A8,$A8,$B$2:$B8,$B8))</f>
        <v/>
      </c>
      <c r="D8" s="11" t="n"/>
      <c r="E8" s="10" t="n"/>
      <c r="F8" s="11" t="n"/>
    </row>
    <row r="9">
      <c r="A9" s="12" t="n"/>
      <c r="B9" s="10" t="n"/>
      <c r="C9" s="14">
        <f>IF(OR($A9="",$B9=""),"",TEXT($B9,"00")&amp;"."&amp;COUNTIFS($A$2:$A9,$A9,$B$2:$B9,$B9))</f>
        <v/>
      </c>
      <c r="D9" s="11" t="n"/>
      <c r="E9" s="10" t="n"/>
      <c r="F9" s="11" t="n"/>
    </row>
    <row r="10">
      <c r="A10" s="12" t="n"/>
      <c r="B10" s="10" t="n"/>
      <c r="C10" s="14">
        <f>IF(OR($A10="",$B10=""),"",TEXT($B10,"00")&amp;"."&amp;COUNTIFS($A$2:$A10,$A10,$B$2:$B10,$B10))</f>
        <v/>
      </c>
      <c r="D10" s="11" t="n"/>
      <c r="E10" s="10" t="n"/>
      <c r="F10" s="11" t="n"/>
    </row>
    <row r="11">
      <c r="A11" s="12" t="n"/>
      <c r="B11" s="10" t="n"/>
      <c r="C11" s="14">
        <f>IF(OR($A11="",$B11=""),"",TEXT($B11,"00")&amp;"."&amp;COUNTIFS($A$2:$A11,$A11,$B$2:$B11,$B11))</f>
        <v/>
      </c>
      <c r="D11" s="11" t="n"/>
      <c r="E11" s="10" t="n"/>
      <c r="F11" s="11" t="n"/>
    </row>
    <row r="12">
      <c r="A12" s="12" t="n"/>
      <c r="B12" s="10" t="n"/>
      <c r="C12" s="14">
        <f>IF(OR($A12="",$B12=""),"",TEXT($B12,"00")&amp;"."&amp;COUNTIFS($A$2:$A12,$A12,$B$2:$B12,$B12))</f>
        <v/>
      </c>
      <c r="D12" s="11" t="n"/>
      <c r="E12" s="10" t="n"/>
      <c r="F12" s="11" t="n"/>
    </row>
    <row r="13">
      <c r="A13" s="12" t="n"/>
      <c r="B13" s="10" t="n"/>
      <c r="C13" s="14">
        <f>IF(OR($A13="",$B13=""),"",TEXT($B13,"00")&amp;"."&amp;COUNTIFS($A$2:$A13,$A13,$B$2:$B13,$B13))</f>
        <v/>
      </c>
      <c r="D13" s="11" t="n"/>
      <c r="E13" s="10" t="n"/>
      <c r="F13" s="11" t="n"/>
    </row>
    <row r="14">
      <c r="A14" s="12" t="n"/>
      <c r="B14" s="10" t="n"/>
      <c r="C14" s="14">
        <f>IF(OR($A14="",$B14=""),"",TEXT($B14,"00")&amp;"."&amp;COUNTIFS($A$2:$A14,$A14,$B$2:$B14,$B14))</f>
        <v/>
      </c>
      <c r="D14" s="11" t="n"/>
      <c r="E14" s="10" t="n"/>
      <c r="F14" s="11" t="n"/>
    </row>
    <row r="15">
      <c r="A15" s="12" t="n"/>
      <c r="B15" s="10" t="n"/>
      <c r="C15" s="14">
        <f>IF(OR($A15="",$B15=""),"",TEXT($B15,"00")&amp;"."&amp;COUNTIFS($A$2:$A15,$A15,$B$2:$B15,$B15))</f>
        <v/>
      </c>
      <c r="D15" s="11" t="n"/>
      <c r="E15" s="10" t="n"/>
      <c r="F15" s="11" t="n"/>
    </row>
    <row r="16">
      <c r="A16" s="12" t="n"/>
      <c r="B16" s="10" t="n"/>
      <c r="C16" s="14">
        <f>IF(OR($A16="",$B16=""),"",TEXT($B16,"00")&amp;"."&amp;COUNTIFS($A$2:$A16,$A16,$B$2:$B16,$B16))</f>
        <v/>
      </c>
      <c r="D16" s="11" t="n"/>
      <c r="E16" s="10" t="n"/>
      <c r="F16" s="11" t="n"/>
    </row>
    <row r="17">
      <c r="A17" s="12" t="n"/>
      <c r="B17" s="10" t="n"/>
      <c r="C17" s="14">
        <f>IF(OR($A17="",$B17=""),"",TEXT($B17,"00")&amp;"."&amp;COUNTIFS($A$2:$A17,$A17,$B$2:$B17,$B17))</f>
        <v/>
      </c>
      <c r="D17" s="11" t="n"/>
      <c r="E17" s="10" t="n"/>
      <c r="F17" s="11" t="n"/>
    </row>
    <row r="18">
      <c r="A18" s="12" t="n"/>
      <c r="B18" s="10" t="n"/>
      <c r="C18" s="14">
        <f>IF(OR($A18="",$B18=""),"",TEXT($B18,"00")&amp;"."&amp;COUNTIFS($A$2:$A18,$A18,$B$2:$B18,$B18))</f>
        <v/>
      </c>
      <c r="D18" s="11" t="n"/>
      <c r="E18" s="10" t="n"/>
      <c r="F18" s="11" t="n"/>
    </row>
    <row r="19">
      <c r="A19" s="12" t="n"/>
      <c r="B19" s="10" t="n"/>
      <c r="C19" s="14">
        <f>IF(OR($A19="",$B19=""),"",TEXT($B19,"00")&amp;"."&amp;COUNTIFS($A$2:$A19,$A19,$B$2:$B19,$B19))</f>
        <v/>
      </c>
      <c r="D19" s="11" t="n"/>
      <c r="E19" s="10" t="n"/>
      <c r="F19" s="11" t="n"/>
    </row>
    <row r="20">
      <c r="A20" s="12" t="n"/>
      <c r="B20" s="10" t="n"/>
      <c r="C20" s="14">
        <f>IF(OR($A20="",$B20=""),"",TEXT($B20,"00")&amp;"."&amp;COUNTIFS($A$2:$A20,$A20,$B$2:$B20,$B20))</f>
        <v/>
      </c>
      <c r="D20" s="11" t="n"/>
      <c r="E20" s="10" t="n"/>
      <c r="F20" s="11" t="n"/>
    </row>
    <row r="21">
      <c r="A21" s="12" t="n"/>
      <c r="B21" s="10" t="n"/>
      <c r="C21" s="14">
        <f>IF(OR($A21="",$B21=""),"",TEXT($B21,"00")&amp;"."&amp;COUNTIFS($A$2:$A21,$A21,$B$2:$B21,$B21))</f>
        <v/>
      </c>
      <c r="D21" s="11" t="n"/>
      <c r="E21" s="10" t="n"/>
      <c r="F21" s="11" t="n"/>
    </row>
    <row r="22">
      <c r="A22" s="12" t="n"/>
      <c r="B22" s="10" t="n"/>
      <c r="C22" s="14">
        <f>IF(OR($A22="",$B22=""),"",TEXT($B22,"00")&amp;"."&amp;COUNTIFS($A$2:$A22,$A22,$B$2:$B22,$B22))</f>
        <v/>
      </c>
      <c r="D22" s="11" t="n"/>
      <c r="E22" s="10" t="n"/>
      <c r="F22" s="11" t="n"/>
    </row>
    <row r="23">
      <c r="A23" s="12" t="n"/>
      <c r="B23" s="10" t="n"/>
      <c r="C23" s="14">
        <f>IF(OR($A23="",$B23=""),"",TEXT($B23,"00")&amp;"."&amp;COUNTIFS($A$2:$A23,$A23,$B$2:$B23,$B23))</f>
        <v/>
      </c>
      <c r="D23" s="11" t="n"/>
      <c r="E23" s="10" t="n"/>
      <c r="F23" s="11" t="n"/>
    </row>
    <row r="24">
      <c r="A24" s="12" t="n"/>
      <c r="B24" s="10" t="n"/>
      <c r="C24" s="14">
        <f>IF(OR($A24="",$B24=""),"",TEXT($B24,"00")&amp;"."&amp;COUNTIFS($A$2:$A24,$A24,$B$2:$B24,$B24))</f>
        <v/>
      </c>
      <c r="D24" s="11" t="n"/>
      <c r="E24" s="10" t="n"/>
      <c r="F24" s="11" t="n"/>
    </row>
    <row r="25">
      <c r="A25" s="12" t="n"/>
      <c r="B25" s="10" t="n"/>
      <c r="C25" s="14">
        <f>IF(OR($A25="",$B25=""),"",TEXT($B25,"00")&amp;"."&amp;COUNTIFS($A$2:$A25,$A25,$B$2:$B25,$B25))</f>
        <v/>
      </c>
      <c r="D25" s="11" t="n"/>
      <c r="E25" s="10" t="n"/>
      <c r="F25" s="11" t="n"/>
    </row>
    <row r="26">
      <c r="A26" s="12" t="n"/>
      <c r="B26" s="10" t="n"/>
      <c r="C26" s="14">
        <f>IF(OR($A26="",$B26=""),"",TEXT($B26,"00")&amp;"."&amp;COUNTIFS($A$2:$A26,$A26,$B$2:$B26,$B26))</f>
        <v/>
      </c>
      <c r="D26" s="11" t="n"/>
      <c r="E26" s="10" t="n"/>
      <c r="F26" s="11" t="n"/>
    </row>
    <row r="27">
      <c r="A27" s="12" t="n"/>
      <c r="B27" s="10" t="n"/>
      <c r="C27" s="14">
        <f>IF(OR($A27="",$B27=""),"",TEXT($B27,"00")&amp;"."&amp;COUNTIFS($A$2:$A27,$A27,$B$2:$B27,$B27))</f>
        <v/>
      </c>
      <c r="D27" s="11" t="n"/>
      <c r="E27" s="10" t="n"/>
      <c r="F27" s="11" t="n"/>
    </row>
    <row r="28">
      <c r="A28" s="12" t="n"/>
      <c r="B28" s="10" t="n"/>
      <c r="C28" s="14">
        <f>IF(OR($A28="",$B28=""),"",TEXT($B28,"00")&amp;"."&amp;COUNTIFS($A$2:$A28,$A28,$B$2:$B28,$B28))</f>
        <v/>
      </c>
      <c r="D28" s="11" t="n"/>
      <c r="E28" s="10" t="n"/>
      <c r="F28" s="11" t="n"/>
    </row>
    <row r="29">
      <c r="A29" s="12" t="n"/>
      <c r="B29" s="10" t="n"/>
      <c r="C29" s="14">
        <f>IF(OR($A29="",$B29=""),"",TEXT($B29,"00")&amp;"."&amp;COUNTIFS($A$2:$A29,$A29,$B$2:$B29,$B29))</f>
        <v/>
      </c>
      <c r="D29" s="11" t="n"/>
      <c r="E29" s="10" t="n"/>
      <c r="F29" s="11" t="n"/>
    </row>
    <row r="30">
      <c r="A30" s="12" t="n"/>
      <c r="B30" s="10" t="n"/>
      <c r="C30" s="14">
        <f>IF(OR($A30="",$B30=""),"",TEXT($B30,"00")&amp;"."&amp;COUNTIFS($A$2:$A30,$A30,$B$2:$B30,$B30))</f>
        <v/>
      </c>
      <c r="D30" s="11" t="n"/>
      <c r="E30" s="10" t="n"/>
      <c r="F30" s="11" t="n"/>
    </row>
    <row r="31">
      <c r="A31" s="12" t="n"/>
      <c r="B31" s="10" t="n"/>
      <c r="C31" s="14">
        <f>IF(OR($A31="",$B31=""),"",TEXT($B31,"00")&amp;"."&amp;COUNTIFS($A$2:$A31,$A31,$B$2:$B31,$B31))</f>
        <v/>
      </c>
      <c r="D31" s="11" t="n"/>
      <c r="E31" s="10" t="n"/>
      <c r="F31" s="11" t="n"/>
    </row>
    <row r="32">
      <c r="A32" s="12" t="n"/>
      <c r="B32" s="10" t="n"/>
      <c r="C32" s="14">
        <f>IF(OR($A32="",$B32=""),"",TEXT($B32,"00")&amp;"."&amp;COUNTIFS($A$2:$A32,$A32,$B$2:$B32,$B32))</f>
        <v/>
      </c>
      <c r="D32" s="11" t="n"/>
      <c r="E32" s="10" t="n"/>
      <c r="F32" s="11" t="n"/>
    </row>
    <row r="33">
      <c r="A33" s="12" t="n"/>
      <c r="B33" s="10" t="n"/>
      <c r="C33" s="14">
        <f>IF(OR($A33="",$B33=""),"",TEXT($B33,"00")&amp;"."&amp;COUNTIFS($A$2:$A33,$A33,$B$2:$B33,$B33))</f>
        <v/>
      </c>
      <c r="D33" s="11" t="n"/>
      <c r="E33" s="10" t="n"/>
      <c r="F33" s="11" t="n"/>
    </row>
    <row r="34">
      <c r="A34" s="12" t="n"/>
      <c r="B34" s="10" t="n"/>
      <c r="C34" s="14">
        <f>IF(OR($A34="",$B34=""),"",TEXT($B34,"00")&amp;"."&amp;COUNTIFS($A$2:$A34,$A34,$B$2:$B34,$B34))</f>
        <v/>
      </c>
      <c r="D34" s="11" t="n"/>
      <c r="E34" s="10" t="n"/>
      <c r="F34" s="11" t="n"/>
    </row>
    <row r="35">
      <c r="A35" s="12" t="n"/>
      <c r="B35" s="10" t="n"/>
      <c r="C35" s="14">
        <f>IF(OR($A35="",$B35=""),"",TEXT($B35,"00")&amp;"."&amp;COUNTIFS($A$2:$A35,$A35,$B$2:$B35,$B35))</f>
        <v/>
      </c>
      <c r="D35" s="11" t="n"/>
      <c r="E35" s="10" t="n"/>
      <c r="F35" s="11" t="n"/>
    </row>
    <row r="36">
      <c r="A36" s="12" t="n"/>
      <c r="B36" s="10" t="n"/>
      <c r="C36" s="14">
        <f>IF(OR($A36="",$B36=""),"",TEXT($B36,"00")&amp;"."&amp;COUNTIFS($A$2:$A36,$A36,$B$2:$B36,$B36))</f>
        <v/>
      </c>
      <c r="D36" s="11" t="n"/>
      <c r="E36" s="10" t="n"/>
      <c r="F36" s="11" t="n"/>
    </row>
    <row r="37">
      <c r="A37" s="12" t="n"/>
      <c r="B37" s="10" t="n"/>
      <c r="C37" s="14">
        <f>IF(OR($A37="",$B37=""),"",TEXT($B37,"00")&amp;"."&amp;COUNTIFS($A$2:$A37,$A37,$B$2:$B37,$B37))</f>
        <v/>
      </c>
      <c r="D37" s="11" t="n"/>
      <c r="E37" s="10" t="n"/>
      <c r="F37" s="11" t="n"/>
    </row>
    <row r="38">
      <c r="A38" s="12" t="n"/>
      <c r="B38" s="10" t="n"/>
      <c r="C38" s="14">
        <f>IF(OR($A38="",$B38=""),"",TEXT($B38,"00")&amp;"."&amp;COUNTIFS($A$2:$A38,$A38,$B$2:$B38,$B38))</f>
        <v/>
      </c>
      <c r="D38" s="11" t="n"/>
      <c r="E38" s="10" t="n"/>
      <c r="F38" s="11" t="n"/>
    </row>
    <row r="39">
      <c r="A39" s="12" t="n"/>
      <c r="B39" s="10" t="n"/>
      <c r="C39" s="14">
        <f>IF(OR($A39="",$B39=""),"",TEXT($B39,"00")&amp;"."&amp;COUNTIFS($A$2:$A39,$A39,$B$2:$B39,$B39))</f>
        <v/>
      </c>
      <c r="D39" s="11" t="n"/>
      <c r="E39" s="10" t="n"/>
      <c r="F39" s="11" t="n"/>
    </row>
    <row r="40">
      <c r="A40" s="12" t="n"/>
      <c r="B40" s="10" t="n"/>
      <c r="C40" s="14">
        <f>IF(OR($A40="",$B40=""),"",TEXT($B40,"00")&amp;"."&amp;COUNTIFS($A$2:$A40,$A40,$B$2:$B40,$B40))</f>
        <v/>
      </c>
      <c r="D40" s="11" t="n"/>
      <c r="E40" s="10" t="n"/>
      <c r="F40" s="11" t="n"/>
    </row>
    <row r="41">
      <c r="A41" s="12" t="n"/>
      <c r="B41" s="10" t="n"/>
      <c r="C41" s="14">
        <f>IF(OR($A41="",$B41=""),"",TEXT($B41,"00")&amp;"."&amp;COUNTIFS($A$2:$A41,$A41,$B$2:$B41,$B41))</f>
        <v/>
      </c>
      <c r="D41" s="11" t="n"/>
      <c r="E41" s="10" t="n"/>
      <c r="F41" s="11" t="n"/>
    </row>
    <row r="42">
      <c r="A42" s="12" t="n"/>
      <c r="B42" s="10" t="n"/>
      <c r="C42" s="14">
        <f>IF(OR($A42="",$B42=""),"",TEXT($B42,"00")&amp;"."&amp;COUNTIFS($A$2:$A42,$A42,$B$2:$B42,$B42))</f>
        <v/>
      </c>
      <c r="D42" s="11" t="n"/>
      <c r="E42" s="10" t="n"/>
      <c r="F42" s="11" t="n"/>
    </row>
    <row r="43">
      <c r="A43" s="12" t="n"/>
      <c r="B43" s="10" t="n"/>
      <c r="C43" s="14">
        <f>IF(OR($A43="",$B43=""),"",TEXT($B43,"00")&amp;"."&amp;COUNTIFS($A$2:$A43,$A43,$B$2:$B43,$B43))</f>
        <v/>
      </c>
      <c r="D43" s="11" t="n"/>
      <c r="E43" s="10" t="n"/>
      <c r="F43" s="11" t="n"/>
    </row>
    <row r="44">
      <c r="A44" s="12" t="n"/>
      <c r="B44" s="10" t="n"/>
      <c r="C44" s="14">
        <f>IF(OR($A44="",$B44=""),"",TEXT($B44,"00")&amp;"."&amp;COUNTIFS($A$2:$A44,$A44,$B$2:$B44,$B44))</f>
        <v/>
      </c>
      <c r="D44" s="11" t="n"/>
      <c r="E44" s="10" t="n"/>
      <c r="F44" s="11" t="n"/>
    </row>
    <row r="45">
      <c r="A45" s="12" t="n"/>
      <c r="B45" s="10" t="n"/>
      <c r="C45" s="14">
        <f>IF(OR($A45="",$B45=""),"",TEXT($B45,"00")&amp;"."&amp;COUNTIFS($A$2:$A45,$A45,$B$2:$B45,$B45))</f>
        <v/>
      </c>
      <c r="D45" s="11" t="n"/>
      <c r="E45" s="10" t="n"/>
      <c r="F45" s="11" t="n"/>
    </row>
    <row r="46">
      <c r="A46" s="12" t="n"/>
      <c r="B46" s="10" t="n"/>
      <c r="C46" s="14">
        <f>IF(OR($A46="",$B46=""),"",TEXT($B46,"00")&amp;"."&amp;COUNTIFS($A$2:$A46,$A46,$B$2:$B46,$B46))</f>
        <v/>
      </c>
      <c r="D46" s="11" t="n"/>
      <c r="E46" s="10" t="n"/>
      <c r="F46" s="11" t="n"/>
    </row>
    <row r="47">
      <c r="A47" s="12" t="n"/>
      <c r="B47" s="10" t="n"/>
      <c r="C47" s="14">
        <f>IF(OR($A47="",$B47=""),"",TEXT($B47,"00")&amp;"."&amp;COUNTIFS($A$2:$A47,$A47,$B$2:$B47,$B47))</f>
        <v/>
      </c>
      <c r="D47" s="11" t="n"/>
      <c r="E47" s="10" t="n"/>
      <c r="F47" s="11" t="n"/>
    </row>
    <row r="48">
      <c r="A48" s="12" t="n"/>
      <c r="B48" s="10" t="n"/>
      <c r="C48" s="14">
        <f>IF(OR($A48="",$B48=""),"",TEXT($B48,"00")&amp;"."&amp;COUNTIFS($A$2:$A48,$A48,$B$2:$B48,$B48))</f>
        <v/>
      </c>
      <c r="D48" s="11" t="n"/>
      <c r="E48" s="10" t="n"/>
      <c r="F48" s="11" t="n"/>
    </row>
    <row r="49">
      <c r="A49" s="12" t="n"/>
      <c r="B49" s="10" t="n"/>
      <c r="C49" s="14">
        <f>IF(OR($A49="",$B49=""),"",TEXT($B49,"00")&amp;"."&amp;COUNTIFS($A$2:$A49,$A49,$B$2:$B49,$B49))</f>
        <v/>
      </c>
      <c r="D49" s="11" t="n"/>
      <c r="E49" s="10" t="n"/>
      <c r="F49" s="11" t="n"/>
    </row>
    <row r="50">
      <c r="A50" s="12" t="n"/>
      <c r="B50" s="10" t="n"/>
      <c r="C50" s="14">
        <f>IF(OR($A50="",$B50=""),"",TEXT($B50,"00")&amp;"."&amp;COUNTIFS($A$2:$A50,$A50,$B$2:$B50,$B50))</f>
        <v/>
      </c>
      <c r="D50" s="11" t="n"/>
      <c r="E50" s="10" t="n"/>
      <c r="F50" s="11" t="n"/>
    </row>
    <row r="51">
      <c r="A51" s="12" t="n"/>
      <c r="B51" s="10" t="n"/>
      <c r="C51" s="14">
        <f>IF(OR($A51="",$B51=""),"",TEXT($B51,"00")&amp;"."&amp;COUNTIFS($A$2:$A51,$A51,$B$2:$B51,$B51))</f>
        <v/>
      </c>
      <c r="D51" s="11" t="n"/>
      <c r="E51" s="10" t="n"/>
      <c r="F51" s="11" t="n"/>
    </row>
    <row r="52">
      <c r="A52" s="12" t="n"/>
      <c r="B52" s="10" t="n"/>
      <c r="C52" s="14">
        <f>IF(OR($A52="",$B52=""),"",TEXT($B52,"00")&amp;"."&amp;COUNTIFS($A$2:$A52,$A52,$B$2:$B52,$B52))</f>
        <v/>
      </c>
      <c r="D52" s="11" t="n"/>
      <c r="E52" s="10" t="n"/>
      <c r="F52" s="11" t="n"/>
    </row>
    <row r="53">
      <c r="A53" s="12" t="n"/>
      <c r="B53" s="10" t="n"/>
      <c r="C53" s="14">
        <f>IF(OR($A53="",$B53=""),"",TEXT($B53,"00")&amp;"."&amp;COUNTIFS($A$2:$A53,$A53,$B$2:$B53,$B53))</f>
        <v/>
      </c>
      <c r="D53" s="11" t="n"/>
      <c r="E53" s="10" t="n"/>
      <c r="F53" s="11" t="n"/>
    </row>
    <row r="54">
      <c r="A54" s="12" t="n"/>
      <c r="B54" s="10" t="n"/>
      <c r="C54" s="14">
        <f>IF(OR($A54="",$B54=""),"",TEXT($B54,"00")&amp;"."&amp;COUNTIFS($A$2:$A54,$A54,$B$2:$B54,$B54))</f>
        <v/>
      </c>
      <c r="D54" s="11" t="n"/>
      <c r="E54" s="10" t="n"/>
      <c r="F54" s="11" t="n"/>
    </row>
    <row r="55">
      <c r="A55" s="12" t="n"/>
      <c r="B55" s="10" t="n"/>
      <c r="C55" s="14">
        <f>IF(OR($A55="",$B55=""),"",TEXT($B55,"00")&amp;"."&amp;COUNTIFS($A$2:$A55,$A55,$B$2:$B55,$B55))</f>
        <v/>
      </c>
      <c r="D55" s="11" t="n"/>
      <c r="E55" s="10" t="n"/>
      <c r="F55" s="11" t="n"/>
    </row>
    <row r="56">
      <c r="A56" s="12" t="n"/>
      <c r="B56" s="10" t="n"/>
      <c r="C56" s="14">
        <f>IF(OR($A56="",$B56=""),"",TEXT($B56,"00")&amp;"."&amp;COUNTIFS($A$2:$A56,$A56,$B$2:$B56,$B56))</f>
        <v/>
      </c>
      <c r="D56" s="11" t="n"/>
      <c r="E56" s="10" t="n"/>
      <c r="F56" s="11" t="n"/>
    </row>
    <row r="57">
      <c r="A57" s="12" t="n"/>
      <c r="B57" s="10" t="n"/>
      <c r="C57" s="14">
        <f>IF(OR($A57="",$B57=""),"",TEXT($B57,"00")&amp;"."&amp;COUNTIFS($A$2:$A57,$A57,$B$2:$B57,$B57))</f>
        <v/>
      </c>
      <c r="D57" s="11" t="n"/>
      <c r="E57" s="10" t="n"/>
      <c r="F57" s="11" t="n"/>
    </row>
    <row r="58">
      <c r="A58" s="12" t="n"/>
      <c r="B58" s="10" t="n"/>
      <c r="C58" s="14">
        <f>IF(OR($A58="",$B58=""),"",TEXT($B58,"00")&amp;"."&amp;COUNTIFS($A$2:$A58,$A58,$B$2:$B58,$B58))</f>
        <v/>
      </c>
      <c r="D58" s="11" t="n"/>
      <c r="E58" s="10" t="n"/>
      <c r="F58" s="11" t="n"/>
    </row>
    <row r="59">
      <c r="A59" s="12" t="n"/>
      <c r="B59" s="10" t="n"/>
      <c r="C59" s="14">
        <f>IF(OR($A59="",$B59=""),"",TEXT($B59,"00")&amp;"."&amp;COUNTIFS($A$2:$A59,$A59,$B$2:$B59,$B59))</f>
        <v/>
      </c>
      <c r="D59" s="11" t="n"/>
      <c r="E59" s="10" t="n"/>
      <c r="F59" s="11" t="n"/>
    </row>
    <row r="60">
      <c r="A60" s="12" t="n"/>
      <c r="B60" s="10" t="n"/>
      <c r="C60" s="14">
        <f>IF(OR($A60="",$B60=""),"",TEXT($B60,"00")&amp;"."&amp;COUNTIFS($A$2:$A60,$A60,$B$2:$B60,$B60))</f>
        <v/>
      </c>
      <c r="D60" s="11" t="n"/>
      <c r="E60" s="10" t="n"/>
      <c r="F60" s="11" t="n"/>
    </row>
    <row r="61">
      <c r="A61" s="12" t="n"/>
      <c r="B61" s="10" t="n"/>
      <c r="C61" s="14">
        <f>IF(OR($A61="",$B61=""),"",TEXT($B61,"00")&amp;"."&amp;COUNTIFS($A$2:$A61,$A61,$B$2:$B61,$B61))</f>
        <v/>
      </c>
      <c r="D61" s="11" t="n"/>
      <c r="E61" s="10" t="n"/>
      <c r="F61" s="11" t="n"/>
    </row>
    <row r="62">
      <c r="A62" s="12" t="n"/>
      <c r="B62" s="10" t="n"/>
      <c r="C62" s="14">
        <f>IF(OR($A62="",$B62=""),"",TEXT($B62,"00")&amp;"."&amp;COUNTIFS($A$2:$A62,$A62,$B$2:$B62,$B62))</f>
        <v/>
      </c>
      <c r="D62" s="11" t="n"/>
      <c r="E62" s="10" t="n"/>
      <c r="F62" s="11" t="n"/>
    </row>
    <row r="63">
      <c r="A63" s="12" t="n"/>
      <c r="B63" s="10" t="n"/>
      <c r="C63" s="14">
        <f>IF(OR($A63="",$B63=""),"",TEXT($B63,"00")&amp;"."&amp;COUNTIFS($A$2:$A63,$A63,$B$2:$B63,$B63))</f>
        <v/>
      </c>
      <c r="D63" s="11" t="n"/>
      <c r="E63" s="10" t="n"/>
      <c r="F63" s="11" t="n"/>
    </row>
    <row r="64">
      <c r="A64" s="12" t="n"/>
      <c r="B64" s="10" t="n"/>
      <c r="C64" s="14">
        <f>IF(OR($A64="",$B64=""),"",TEXT($B64,"00")&amp;"."&amp;COUNTIFS($A$2:$A64,$A64,$B$2:$B64,$B64))</f>
        <v/>
      </c>
      <c r="D64" s="11" t="n"/>
      <c r="E64" s="10" t="n"/>
      <c r="F64" s="11" t="n"/>
    </row>
    <row r="65">
      <c r="A65" s="12" t="n"/>
      <c r="B65" s="10" t="n"/>
      <c r="C65" s="14">
        <f>IF(OR($A65="",$B65=""),"",TEXT($B65,"00")&amp;"."&amp;COUNTIFS($A$2:$A65,$A65,$B$2:$B65,$B65))</f>
        <v/>
      </c>
      <c r="D65" s="11" t="n"/>
      <c r="E65" s="10" t="n"/>
      <c r="F65" s="11" t="n"/>
    </row>
    <row r="66">
      <c r="A66" s="12" t="n"/>
      <c r="B66" s="10" t="n"/>
      <c r="C66" s="14">
        <f>IF(OR($A66="",$B66=""),"",TEXT($B66,"00")&amp;"."&amp;COUNTIFS($A$2:$A66,$A66,$B$2:$B66,$B66))</f>
        <v/>
      </c>
      <c r="D66" s="11" t="n"/>
      <c r="E66" s="10" t="n"/>
      <c r="F66" s="11" t="n"/>
    </row>
    <row r="67">
      <c r="A67" s="12" t="n"/>
      <c r="B67" s="10" t="n"/>
      <c r="C67" s="14">
        <f>IF(OR($A67="",$B67=""),"",TEXT($B67,"00")&amp;"."&amp;COUNTIFS($A$2:$A67,$A67,$B$2:$B67,$B67))</f>
        <v/>
      </c>
      <c r="D67" s="11" t="n"/>
      <c r="E67" s="10" t="n"/>
      <c r="F67" s="11" t="n"/>
    </row>
    <row r="68">
      <c r="A68" s="12" t="n"/>
      <c r="B68" s="10" t="n"/>
      <c r="C68" s="14">
        <f>IF(OR($A68="",$B68=""),"",TEXT($B68,"00")&amp;"."&amp;COUNTIFS($A$2:$A68,$A68,$B$2:$B68,$B68))</f>
        <v/>
      </c>
      <c r="D68" s="11" t="n"/>
      <c r="E68" s="10" t="n"/>
      <c r="F68" s="11" t="n"/>
    </row>
    <row r="69">
      <c r="A69" s="12" t="n"/>
      <c r="B69" s="10" t="n"/>
      <c r="C69" s="14">
        <f>IF(OR($A69="",$B69=""),"",TEXT($B69,"00")&amp;"."&amp;COUNTIFS($A$2:$A69,$A69,$B$2:$B69,$B69))</f>
        <v/>
      </c>
      <c r="D69" s="11" t="n"/>
      <c r="E69" s="10" t="n"/>
      <c r="F69" s="11" t="n"/>
    </row>
    <row r="70">
      <c r="A70" s="12" t="n"/>
      <c r="B70" s="10" t="n"/>
      <c r="C70" s="14">
        <f>IF(OR($A70="",$B70=""),"",TEXT($B70,"00")&amp;"."&amp;COUNTIFS($A$2:$A70,$A70,$B$2:$B70,$B70))</f>
        <v/>
      </c>
      <c r="D70" s="11" t="n"/>
      <c r="E70" s="10" t="n"/>
      <c r="F70" s="11" t="n"/>
    </row>
    <row r="71">
      <c r="A71" s="12" t="n"/>
      <c r="B71" s="10" t="n"/>
      <c r="C71" s="14">
        <f>IF(OR($A71="",$B71=""),"",TEXT($B71,"00")&amp;"."&amp;COUNTIFS($A$2:$A71,$A71,$B$2:$B71,$B71))</f>
        <v/>
      </c>
      <c r="D71" s="11" t="n"/>
      <c r="E71" s="10" t="n"/>
      <c r="F71" s="11" t="n"/>
    </row>
    <row r="72">
      <c r="A72" s="12" t="n"/>
      <c r="B72" s="10" t="n"/>
      <c r="C72" s="14">
        <f>IF(OR($A72="",$B72=""),"",TEXT($B72,"00")&amp;"."&amp;COUNTIFS($A$2:$A72,$A72,$B$2:$B72,$B72))</f>
        <v/>
      </c>
      <c r="D72" s="11" t="n"/>
      <c r="E72" s="10" t="n"/>
      <c r="F72" s="11" t="n"/>
    </row>
    <row r="73">
      <c r="A73" s="12" t="n"/>
      <c r="B73" s="10" t="n"/>
      <c r="C73" s="14">
        <f>IF(OR($A73="",$B73=""),"",TEXT($B73,"00")&amp;"."&amp;COUNTIFS($A$2:$A73,$A73,$B$2:$B73,$B73))</f>
        <v/>
      </c>
      <c r="D73" s="11" t="n"/>
      <c r="E73" s="10" t="n"/>
      <c r="F73" s="11" t="n"/>
    </row>
    <row r="74">
      <c r="A74" s="12" t="n"/>
      <c r="B74" s="10" t="n"/>
      <c r="C74" s="14">
        <f>IF(OR($A74="",$B74=""),"",TEXT($B74,"00")&amp;"."&amp;COUNTIFS($A$2:$A74,$A74,$B$2:$B74,$B74))</f>
        <v/>
      </c>
      <c r="D74" s="11" t="n"/>
      <c r="E74" s="10" t="n"/>
      <c r="F74" s="11" t="n"/>
    </row>
    <row r="75">
      <c r="A75" s="12" t="n"/>
      <c r="B75" s="10" t="n"/>
      <c r="C75" s="14">
        <f>IF(OR($A75="",$B75=""),"",TEXT($B75,"00")&amp;"."&amp;COUNTIFS($A$2:$A75,$A75,$B$2:$B75,$B75))</f>
        <v/>
      </c>
      <c r="D75" s="11" t="n"/>
      <c r="E75" s="10" t="n"/>
      <c r="F75" s="11" t="n"/>
    </row>
    <row r="76">
      <c r="A76" s="12" t="n"/>
      <c r="B76" s="10" t="n"/>
      <c r="C76" s="14">
        <f>IF(OR($A76="",$B76=""),"",TEXT($B76,"00")&amp;"."&amp;COUNTIFS($A$2:$A76,$A76,$B$2:$B76,$B76))</f>
        <v/>
      </c>
      <c r="D76" s="11" t="n"/>
      <c r="E76" s="10" t="n"/>
      <c r="F76" s="11" t="n"/>
    </row>
    <row r="77">
      <c r="A77" s="12" t="n"/>
      <c r="B77" s="10" t="n"/>
      <c r="C77" s="14">
        <f>IF(OR($A77="",$B77=""),"",TEXT($B77,"00")&amp;"."&amp;COUNTIFS($A$2:$A77,$A77,$B$2:$B77,$B77))</f>
        <v/>
      </c>
      <c r="D77" s="11" t="n"/>
      <c r="E77" s="10" t="n"/>
      <c r="F77" s="11" t="n"/>
    </row>
    <row r="78">
      <c r="A78" s="12" t="n"/>
      <c r="B78" s="10" t="n"/>
      <c r="C78" s="14">
        <f>IF(OR($A78="",$B78=""),"",TEXT($B78,"00")&amp;"."&amp;COUNTIFS($A$2:$A78,$A78,$B$2:$B78,$B78))</f>
        <v/>
      </c>
      <c r="D78" s="11" t="n"/>
      <c r="E78" s="10" t="n"/>
      <c r="F78" s="11" t="n"/>
    </row>
    <row r="79">
      <c r="A79" s="12" t="n"/>
      <c r="B79" s="10" t="n"/>
      <c r="C79" s="14">
        <f>IF(OR($A79="",$B79=""),"",TEXT($B79,"00")&amp;"."&amp;COUNTIFS($A$2:$A79,$A79,$B$2:$B79,$B79))</f>
        <v/>
      </c>
      <c r="D79" s="11" t="n"/>
      <c r="E79" s="10" t="n"/>
      <c r="F79" s="11" t="n"/>
    </row>
    <row r="80">
      <c r="A80" s="12" t="n"/>
      <c r="B80" s="10" t="n"/>
      <c r="C80" s="14">
        <f>IF(OR($A80="",$B80=""),"",TEXT($B80,"00")&amp;"."&amp;COUNTIFS($A$2:$A80,$A80,$B$2:$B80,$B80))</f>
        <v/>
      </c>
      <c r="D80" s="11" t="n"/>
      <c r="E80" s="10" t="n"/>
      <c r="F80" s="11" t="n"/>
    </row>
    <row r="81">
      <c r="A81" s="12" t="n"/>
      <c r="B81" s="10" t="n"/>
      <c r="C81" s="14">
        <f>IF(OR($A81="",$B81=""),"",TEXT($B81,"00")&amp;"."&amp;COUNTIFS($A$2:$A81,$A81,$B$2:$B81,$B81))</f>
        <v/>
      </c>
      <c r="D81" s="11" t="n"/>
      <c r="E81" s="10" t="n"/>
      <c r="F81" s="11" t="n"/>
    </row>
    <row r="82">
      <c r="A82" s="12" t="n"/>
      <c r="B82" s="10" t="n"/>
      <c r="C82" s="14">
        <f>IF(OR($A82="",$B82=""),"",TEXT($B82,"00")&amp;"."&amp;COUNTIFS($A$2:$A82,$A82,$B$2:$B82,$B82))</f>
        <v/>
      </c>
      <c r="D82" s="11" t="n"/>
      <c r="E82" s="10" t="n"/>
      <c r="F82" s="11" t="n"/>
    </row>
    <row r="83">
      <c r="A83" s="12" t="n"/>
      <c r="B83" s="10" t="n"/>
      <c r="C83" s="14">
        <f>IF(OR($A83="",$B83=""),"",TEXT($B83,"00")&amp;"."&amp;COUNTIFS($A$2:$A83,$A83,$B$2:$B83,$B83))</f>
        <v/>
      </c>
      <c r="D83" s="11" t="n"/>
      <c r="E83" s="10" t="n"/>
      <c r="F83" s="11" t="n"/>
    </row>
    <row r="84">
      <c r="A84" s="12" t="n"/>
      <c r="B84" s="10" t="n"/>
      <c r="C84" s="14">
        <f>IF(OR($A84="",$B84=""),"",TEXT($B84,"00")&amp;"."&amp;COUNTIFS($A$2:$A84,$A84,$B$2:$B84,$B84))</f>
        <v/>
      </c>
      <c r="D84" s="11" t="n"/>
      <c r="E84" s="10" t="n"/>
      <c r="F84" s="11" t="n"/>
    </row>
    <row r="85">
      <c r="A85" s="12" t="n"/>
      <c r="B85" s="10" t="n"/>
      <c r="C85" s="14">
        <f>IF(OR($A85="",$B85=""),"",TEXT($B85,"00")&amp;"."&amp;COUNTIFS($A$2:$A85,$A85,$B$2:$B85,$B85))</f>
        <v/>
      </c>
      <c r="D85" s="11" t="n"/>
      <c r="E85" s="10" t="n"/>
      <c r="F85" s="11" t="n"/>
    </row>
    <row r="86">
      <c r="A86" s="12" t="n"/>
      <c r="B86" s="10" t="n"/>
      <c r="C86" s="14">
        <f>IF(OR($A86="",$B86=""),"",TEXT($B86,"00")&amp;"."&amp;COUNTIFS($A$2:$A86,$A86,$B$2:$B86,$B86))</f>
        <v/>
      </c>
      <c r="D86" s="11" t="n"/>
      <c r="E86" s="10" t="n"/>
      <c r="F86" s="11" t="n"/>
    </row>
    <row r="87">
      <c r="A87" s="12" t="n"/>
      <c r="B87" s="10" t="n"/>
      <c r="C87" s="14">
        <f>IF(OR($A87="",$B87=""),"",TEXT($B87,"00")&amp;"."&amp;COUNTIFS($A$2:$A87,$A87,$B$2:$B87,$B87))</f>
        <v/>
      </c>
      <c r="D87" s="11" t="n"/>
      <c r="E87" s="10" t="n"/>
      <c r="F87" s="11" t="n"/>
    </row>
    <row r="88">
      <c r="A88" s="12" t="n"/>
      <c r="B88" s="10" t="n"/>
      <c r="C88" s="14">
        <f>IF(OR($A88="",$B88=""),"",TEXT($B88,"00")&amp;"."&amp;COUNTIFS($A$2:$A88,$A88,$B$2:$B88,$B88))</f>
        <v/>
      </c>
      <c r="D88" s="11" t="n"/>
      <c r="E88" s="10" t="n"/>
      <c r="F88" s="11" t="n"/>
    </row>
    <row r="89">
      <c r="A89" s="12" t="n"/>
      <c r="B89" s="10" t="n"/>
      <c r="C89" s="14">
        <f>IF(OR($A89="",$B89=""),"",TEXT($B89,"00")&amp;"."&amp;COUNTIFS($A$2:$A89,$A89,$B$2:$B89,$B89))</f>
        <v/>
      </c>
      <c r="D89" s="11" t="n"/>
      <c r="E89" s="10" t="n"/>
      <c r="F89" s="11" t="n"/>
    </row>
    <row r="90">
      <c r="A90" s="12" t="n"/>
      <c r="B90" s="10" t="n"/>
      <c r="C90" s="14">
        <f>IF(OR($A90="",$B90=""),"",TEXT($B90,"00")&amp;"."&amp;COUNTIFS($A$2:$A90,$A90,$B$2:$B90,$B90))</f>
        <v/>
      </c>
      <c r="D90" s="11" t="n"/>
      <c r="E90" s="10" t="n"/>
      <c r="F90" s="11" t="n"/>
    </row>
    <row r="91">
      <c r="A91" s="12" t="n"/>
      <c r="B91" s="10" t="n"/>
      <c r="C91" s="14">
        <f>IF(OR($A91="",$B91=""),"",TEXT($B91,"00")&amp;"."&amp;COUNTIFS($A$2:$A91,$A91,$B$2:$B91,$B91))</f>
        <v/>
      </c>
      <c r="D91" s="11" t="n"/>
      <c r="E91" s="10" t="n"/>
      <c r="F91" s="11" t="n"/>
    </row>
    <row r="92">
      <c r="A92" s="12" t="n"/>
      <c r="B92" s="10" t="n"/>
      <c r="C92" s="14">
        <f>IF(OR($A92="",$B92=""),"",TEXT($B92,"00")&amp;"."&amp;COUNTIFS($A$2:$A92,$A92,$B$2:$B92,$B92))</f>
        <v/>
      </c>
      <c r="D92" s="11" t="n"/>
      <c r="E92" s="10" t="n"/>
      <c r="F92" s="11" t="n"/>
    </row>
    <row r="93">
      <c r="A93" s="12" t="n"/>
      <c r="B93" s="10" t="n"/>
      <c r="C93" s="14">
        <f>IF(OR($A93="",$B93=""),"",TEXT($B93,"00")&amp;"."&amp;COUNTIFS($A$2:$A93,$A93,$B$2:$B93,$B93))</f>
        <v/>
      </c>
      <c r="D93" s="11" t="n"/>
      <c r="E93" s="10" t="n"/>
      <c r="F93" s="11" t="n"/>
    </row>
    <row r="94">
      <c r="A94" s="12" t="n"/>
      <c r="B94" s="10" t="n"/>
      <c r="C94" s="14">
        <f>IF(OR($A94="",$B94=""),"",TEXT($B94,"00")&amp;"."&amp;COUNTIFS($A$2:$A94,$A94,$B$2:$B94,$B94))</f>
        <v/>
      </c>
      <c r="D94" s="11" t="n"/>
      <c r="E94" s="10" t="n"/>
      <c r="F94" s="11" t="n"/>
    </row>
    <row r="95">
      <c r="A95" s="12" t="n"/>
      <c r="B95" s="10" t="n"/>
      <c r="C95" s="14">
        <f>IF(OR($A95="",$B95=""),"",TEXT($B95,"00")&amp;"."&amp;COUNTIFS($A$2:$A95,$A95,$B$2:$B95,$B95))</f>
        <v/>
      </c>
      <c r="D95" s="11" t="n"/>
      <c r="E95" s="10" t="n"/>
      <c r="F95" s="11" t="n"/>
    </row>
    <row r="96">
      <c r="A96" s="12" t="n"/>
      <c r="B96" s="10" t="n"/>
      <c r="C96" s="14">
        <f>IF(OR($A96="",$B96=""),"",TEXT($B96,"00")&amp;"."&amp;COUNTIFS($A$2:$A96,$A96,$B$2:$B96,$B96))</f>
        <v/>
      </c>
      <c r="D96" s="11" t="n"/>
      <c r="E96" s="10" t="n"/>
      <c r="F96" s="11" t="n"/>
    </row>
    <row r="97">
      <c r="A97" s="12" t="n"/>
      <c r="B97" s="10" t="n"/>
      <c r="C97" s="14">
        <f>IF(OR($A97="",$B97=""),"",TEXT($B97,"00")&amp;"."&amp;COUNTIFS($A$2:$A97,$A97,$B$2:$B97,$B97))</f>
        <v/>
      </c>
      <c r="D97" s="11" t="n"/>
      <c r="E97" s="10" t="n"/>
      <c r="F97" s="11" t="n"/>
    </row>
    <row r="98">
      <c r="A98" s="12" t="n"/>
      <c r="B98" s="10" t="n"/>
      <c r="C98" s="14">
        <f>IF(OR($A98="",$B98=""),"",TEXT($B98,"00")&amp;"."&amp;COUNTIFS($A$2:$A98,$A98,$B$2:$B98,$B98))</f>
        <v/>
      </c>
      <c r="D98" s="11" t="n"/>
      <c r="E98" s="10" t="n"/>
      <c r="F98" s="11" t="n"/>
    </row>
    <row r="99">
      <c r="A99" s="12" t="n"/>
      <c r="B99" s="10" t="n"/>
      <c r="C99" s="14">
        <f>IF(OR($A99="",$B99=""),"",TEXT($B99,"00")&amp;"."&amp;COUNTIFS($A$2:$A99,$A99,$B$2:$B99,$B99))</f>
        <v/>
      </c>
      <c r="D99" s="11" t="n"/>
      <c r="E99" s="10" t="n"/>
      <c r="F99" s="11" t="n"/>
    </row>
    <row r="100">
      <c r="A100" s="12" t="n"/>
      <c r="B100" s="10" t="n"/>
      <c r="C100" s="14">
        <f>IF(OR($A100="",$B100=""),"",TEXT($B100,"00")&amp;"."&amp;COUNTIFS($A$2:$A100,$A100,$B$2:$B100,$B100))</f>
        <v/>
      </c>
      <c r="D100" s="11" t="n"/>
      <c r="E100" s="10" t="n"/>
      <c r="F100" s="11" t="n"/>
    </row>
    <row r="101">
      <c r="A101" s="12" t="n"/>
      <c r="B101" s="10" t="n"/>
      <c r="C101" s="14">
        <f>IF(OR($A101="",$B101=""),"",TEXT($B101,"00")&amp;"."&amp;COUNTIFS($A$2:$A101,$A101,$B$2:$B101,$B101))</f>
        <v/>
      </c>
      <c r="D101" s="11" t="n"/>
      <c r="E101" s="10" t="n"/>
      <c r="F101" s="11" t="n"/>
    </row>
    <row r="102">
      <c r="A102" s="12" t="n"/>
      <c r="B102" s="10" t="n"/>
      <c r="C102" s="14">
        <f>IF(OR($A102="",$B102=""),"",TEXT($B102,"00")&amp;"."&amp;COUNTIFS($A$2:$A102,$A102,$B$2:$B102,$B102))</f>
        <v/>
      </c>
      <c r="D102" s="11" t="n"/>
      <c r="E102" s="10" t="n"/>
      <c r="F102" s="11" t="n"/>
    </row>
    <row r="103">
      <c r="A103" s="12" t="n"/>
      <c r="B103" s="10" t="n"/>
      <c r="C103" s="14">
        <f>IF(OR($A103="",$B103=""),"",TEXT($B103,"00")&amp;"."&amp;COUNTIFS($A$2:$A103,$A103,$B$2:$B103,$B103))</f>
        <v/>
      </c>
      <c r="D103" s="11" t="n"/>
      <c r="E103" s="10" t="n"/>
      <c r="F103" s="11" t="n"/>
    </row>
    <row r="104">
      <c r="A104" s="12" t="n"/>
      <c r="B104" s="10" t="n"/>
      <c r="C104" s="14">
        <f>IF(OR($A104="",$B104=""),"",TEXT($B104,"00")&amp;"."&amp;COUNTIFS($A$2:$A104,$A104,$B$2:$B104,$B104))</f>
        <v/>
      </c>
      <c r="D104" s="11" t="n"/>
      <c r="E104" s="10" t="n"/>
      <c r="F104" s="11" t="n"/>
    </row>
    <row r="105">
      <c r="A105" s="12" t="n"/>
      <c r="B105" s="10" t="n"/>
      <c r="C105" s="14">
        <f>IF(OR($A105="",$B105=""),"",TEXT($B105,"00")&amp;"."&amp;COUNTIFS($A$2:$A105,$A105,$B$2:$B105,$B105))</f>
        <v/>
      </c>
      <c r="D105" s="11" t="n"/>
      <c r="E105" s="10" t="n"/>
      <c r="F105" s="11" t="n"/>
    </row>
    <row r="106">
      <c r="A106" s="12" t="n"/>
      <c r="B106" s="10" t="n"/>
      <c r="C106" s="14">
        <f>IF(OR($A106="",$B106=""),"",TEXT($B106,"00")&amp;"."&amp;COUNTIFS($A$2:$A106,$A106,$B$2:$B106,$B106))</f>
        <v/>
      </c>
      <c r="D106" s="11" t="n"/>
      <c r="E106" s="10" t="n"/>
      <c r="F106" s="11" t="n"/>
    </row>
    <row r="107">
      <c r="A107" s="12" t="n"/>
      <c r="B107" s="10" t="n"/>
      <c r="C107" s="14">
        <f>IF(OR($A107="",$B107=""),"",TEXT($B107,"00")&amp;"."&amp;COUNTIFS($A$2:$A107,$A107,$B$2:$B107,$B107))</f>
        <v/>
      </c>
      <c r="D107" s="11" t="n"/>
      <c r="E107" s="10" t="n"/>
      <c r="F107" s="11" t="n"/>
    </row>
    <row r="108">
      <c r="A108" s="12" t="n"/>
      <c r="B108" s="10" t="n"/>
      <c r="C108" s="14">
        <f>IF(OR($A108="",$B108=""),"",TEXT($B108,"00")&amp;"."&amp;COUNTIFS($A$2:$A108,$A108,$B$2:$B108,$B108))</f>
        <v/>
      </c>
      <c r="D108" s="11" t="n"/>
      <c r="E108" s="10" t="n"/>
      <c r="F108" s="11" t="n"/>
    </row>
    <row r="109">
      <c r="A109" s="12" t="n"/>
      <c r="B109" s="10" t="n"/>
      <c r="C109" s="14">
        <f>IF(OR($A109="",$B109=""),"",TEXT($B109,"00")&amp;"."&amp;COUNTIFS($A$2:$A109,$A109,$B$2:$B109,$B109))</f>
        <v/>
      </c>
      <c r="D109" s="11" t="n"/>
      <c r="E109" s="10" t="n"/>
      <c r="F109" s="11" t="n"/>
    </row>
    <row r="110">
      <c r="A110" s="12" t="n"/>
      <c r="B110" s="10" t="n"/>
      <c r="C110" s="14">
        <f>IF(OR($A110="",$B110=""),"",TEXT($B110,"00")&amp;"."&amp;COUNTIFS($A$2:$A110,$A110,$B$2:$B110,$B110))</f>
        <v/>
      </c>
      <c r="D110" s="11" t="n"/>
      <c r="E110" s="10" t="n"/>
      <c r="F110" s="11" t="n"/>
    </row>
    <row r="111">
      <c r="A111" s="12" t="n"/>
      <c r="B111" s="10" t="n"/>
      <c r="C111" s="14">
        <f>IF(OR($A111="",$B111=""),"",TEXT($B111,"00")&amp;"."&amp;COUNTIFS($A$2:$A111,$A111,$B$2:$B111,$B111))</f>
        <v/>
      </c>
      <c r="D111" s="11" t="n"/>
      <c r="E111" s="10" t="n"/>
      <c r="F111" s="11" t="n"/>
    </row>
    <row r="112">
      <c r="A112" s="12" t="n"/>
      <c r="B112" s="10" t="n"/>
      <c r="C112" s="14">
        <f>IF(OR($A112="",$B112=""),"",TEXT($B112,"00")&amp;"."&amp;COUNTIFS($A$2:$A112,$A112,$B$2:$B112,$B112))</f>
        <v/>
      </c>
      <c r="D112" s="11" t="n"/>
      <c r="E112" s="10" t="n"/>
      <c r="F112" s="11" t="n"/>
    </row>
    <row r="113">
      <c r="A113" s="12" t="n"/>
      <c r="B113" s="10" t="n"/>
      <c r="C113" s="14">
        <f>IF(OR($A113="",$B113=""),"",TEXT($B113,"00")&amp;"."&amp;COUNTIFS($A$2:$A113,$A113,$B$2:$B113,$B113))</f>
        <v/>
      </c>
      <c r="D113" s="11" t="n"/>
      <c r="E113" s="10" t="n"/>
      <c r="F113" s="11" t="n"/>
    </row>
    <row r="114">
      <c r="A114" s="12" t="n"/>
      <c r="B114" s="10" t="n"/>
      <c r="C114" s="14">
        <f>IF(OR($A114="",$B114=""),"",TEXT($B114,"00")&amp;"."&amp;COUNTIFS($A$2:$A114,$A114,$B$2:$B114,$B114))</f>
        <v/>
      </c>
      <c r="D114" s="11" t="n"/>
      <c r="E114" s="10" t="n"/>
      <c r="F114" s="11" t="n"/>
    </row>
    <row r="115">
      <c r="A115" s="12" t="n"/>
      <c r="B115" s="10" t="n"/>
      <c r="C115" s="14">
        <f>IF(OR($A115="",$B115=""),"",TEXT($B115,"00")&amp;"."&amp;COUNTIFS($A$2:$A115,$A115,$B$2:$B115,$B115))</f>
        <v/>
      </c>
      <c r="D115" s="11" t="n"/>
      <c r="E115" s="10" t="n"/>
      <c r="F115" s="11" t="n"/>
    </row>
    <row r="116">
      <c r="A116" s="12" t="n"/>
      <c r="B116" s="10" t="n"/>
      <c r="C116" s="14">
        <f>IF(OR($A116="",$B116=""),"",TEXT($B116,"00")&amp;"."&amp;COUNTIFS($A$2:$A116,$A116,$B$2:$B116,$B116))</f>
        <v/>
      </c>
      <c r="D116" s="11" t="n"/>
      <c r="E116" s="10" t="n"/>
      <c r="F116" s="11" t="n"/>
    </row>
    <row r="117">
      <c r="A117" s="12" t="n"/>
      <c r="B117" s="10" t="n"/>
      <c r="C117" s="14">
        <f>IF(OR($A117="",$B117=""),"",TEXT($B117,"00")&amp;"."&amp;COUNTIFS($A$2:$A117,$A117,$B$2:$B117,$B117))</f>
        <v/>
      </c>
      <c r="D117" s="11" t="n"/>
      <c r="E117" s="10" t="n"/>
      <c r="F117" s="11" t="n"/>
    </row>
    <row r="118">
      <c r="A118" s="12" t="n"/>
      <c r="B118" s="10" t="n"/>
      <c r="C118" s="14">
        <f>IF(OR($A118="",$B118=""),"",TEXT($B118,"00")&amp;"."&amp;COUNTIFS($A$2:$A118,$A118,$B$2:$B118,$B118))</f>
        <v/>
      </c>
      <c r="D118" s="11" t="n"/>
      <c r="E118" s="10" t="n"/>
      <c r="F118" s="11" t="n"/>
    </row>
    <row r="119">
      <c r="A119" s="12" t="n"/>
      <c r="B119" s="10" t="n"/>
      <c r="C119" s="14">
        <f>IF(OR($A119="",$B119=""),"",TEXT($B119,"00")&amp;"."&amp;COUNTIFS($A$2:$A119,$A119,$B$2:$B119,$B119))</f>
        <v/>
      </c>
      <c r="D119" s="11" t="n"/>
      <c r="E119" s="10" t="n"/>
      <c r="F119" s="11" t="n"/>
    </row>
    <row r="120">
      <c r="A120" s="12" t="n"/>
      <c r="B120" s="10" t="n"/>
      <c r="C120" s="14">
        <f>IF(OR($A120="",$B120=""),"",TEXT($B120,"00")&amp;"."&amp;COUNTIFS($A$2:$A120,$A120,$B$2:$B120,$B120))</f>
        <v/>
      </c>
      <c r="D120" s="11" t="n"/>
      <c r="E120" s="10" t="n"/>
      <c r="F120" s="11" t="n"/>
    </row>
    <row r="121">
      <c r="A121" s="12" t="n"/>
      <c r="B121" s="10" t="n"/>
      <c r="C121" s="14">
        <f>IF(OR($A121="",$B121=""),"",TEXT($B121,"00")&amp;"."&amp;COUNTIFS($A$2:$A121,$A121,$B$2:$B121,$B121))</f>
        <v/>
      </c>
      <c r="D121" s="11" t="n"/>
      <c r="E121" s="10" t="n"/>
      <c r="F121" s="11" t="n"/>
    </row>
    <row r="122">
      <c r="A122" s="12" t="n"/>
      <c r="B122" s="10" t="n"/>
      <c r="C122" s="14">
        <f>IF(OR($A122="",$B122=""),"",TEXT($B122,"00")&amp;"."&amp;COUNTIFS($A$2:$A122,$A122,$B$2:$B122,$B122))</f>
        <v/>
      </c>
      <c r="D122" s="11" t="n"/>
      <c r="E122" s="10" t="n"/>
      <c r="F122" s="11" t="n"/>
    </row>
    <row r="123">
      <c r="A123" s="12" t="n"/>
      <c r="B123" s="10" t="n"/>
      <c r="C123" s="14">
        <f>IF(OR($A123="",$B123=""),"",TEXT($B123,"00")&amp;"."&amp;COUNTIFS($A$2:$A123,$A123,$B$2:$B123,$B123))</f>
        <v/>
      </c>
      <c r="D123" s="11" t="n"/>
      <c r="E123" s="10" t="n"/>
      <c r="F123" s="11" t="n"/>
    </row>
    <row r="124">
      <c r="A124" s="12" t="n"/>
      <c r="B124" s="10" t="n"/>
      <c r="C124" s="14">
        <f>IF(OR($A124="",$B124=""),"",TEXT($B124,"00")&amp;"."&amp;COUNTIFS($A$2:$A124,$A124,$B$2:$B124,$B124))</f>
        <v/>
      </c>
      <c r="D124" s="11" t="n"/>
      <c r="E124" s="10" t="n"/>
      <c r="F124" s="11" t="n"/>
    </row>
    <row r="125">
      <c r="A125" s="12" t="n"/>
      <c r="B125" s="10" t="n"/>
      <c r="C125" s="14">
        <f>IF(OR($A125="",$B125=""),"",TEXT($B125,"00")&amp;"."&amp;COUNTIFS($A$2:$A125,$A125,$B$2:$B125,$B125))</f>
        <v/>
      </c>
      <c r="D125" s="11" t="n"/>
      <c r="E125" s="10" t="n"/>
      <c r="F125" s="11" t="n"/>
    </row>
    <row r="126">
      <c r="A126" s="12" t="n"/>
      <c r="B126" s="10" t="n"/>
      <c r="C126" s="14">
        <f>IF(OR($A126="",$B126=""),"",TEXT($B126,"00")&amp;"."&amp;COUNTIFS($A$2:$A126,$A126,$B$2:$B126,$B126))</f>
        <v/>
      </c>
      <c r="D126" s="11" t="n"/>
      <c r="E126" s="10" t="n"/>
      <c r="F126" s="11" t="n"/>
    </row>
    <row r="127">
      <c r="A127" s="12" t="n"/>
      <c r="B127" s="10" t="n"/>
      <c r="C127" s="14">
        <f>IF(OR($A127="",$B127=""),"",TEXT($B127,"00")&amp;"."&amp;COUNTIFS($A$2:$A127,$A127,$B$2:$B127,$B127))</f>
        <v/>
      </c>
      <c r="D127" s="11" t="n"/>
      <c r="E127" s="10" t="n"/>
      <c r="F127" s="11" t="n"/>
    </row>
    <row r="128">
      <c r="A128" s="12" t="n"/>
      <c r="B128" s="10" t="n"/>
      <c r="C128" s="14">
        <f>IF(OR($A128="",$B128=""),"",TEXT($B128,"00")&amp;"."&amp;COUNTIFS($A$2:$A128,$A128,$B$2:$B128,$B128))</f>
        <v/>
      </c>
      <c r="D128" s="11" t="n"/>
      <c r="E128" s="10" t="n"/>
      <c r="F128" s="11" t="n"/>
    </row>
    <row r="129">
      <c r="A129" s="12" t="n"/>
      <c r="B129" s="10" t="n"/>
      <c r="C129" s="14">
        <f>IF(OR($A129="",$B129=""),"",TEXT($B129,"00")&amp;"."&amp;COUNTIFS($A$2:$A129,$A129,$B$2:$B129,$B129))</f>
        <v/>
      </c>
      <c r="D129" s="11" t="n"/>
      <c r="E129" s="10" t="n"/>
      <c r="F129" s="11" t="n"/>
    </row>
    <row r="130">
      <c r="A130" s="12" t="n"/>
      <c r="B130" s="10" t="n"/>
      <c r="C130" s="14">
        <f>IF(OR($A130="",$B130=""),"",TEXT($B130,"00")&amp;"."&amp;COUNTIFS($A$2:$A130,$A130,$B$2:$B130,$B130))</f>
        <v/>
      </c>
      <c r="D130" s="11" t="n"/>
      <c r="E130" s="10" t="n"/>
      <c r="F130" s="11" t="n"/>
    </row>
    <row r="131">
      <c r="A131" s="12" t="n"/>
      <c r="B131" s="10" t="n"/>
      <c r="C131" s="14">
        <f>IF(OR($A131="",$B131=""),"",TEXT($B131,"00")&amp;"."&amp;COUNTIFS($A$2:$A131,$A131,$B$2:$B131,$B131))</f>
        <v/>
      </c>
      <c r="D131" s="11" t="n"/>
      <c r="E131" s="10" t="n"/>
      <c r="F131" s="11" t="n"/>
    </row>
    <row r="132">
      <c r="A132" s="12" t="n"/>
      <c r="B132" s="10" t="n"/>
      <c r="C132" s="14">
        <f>IF(OR($A132="",$B132=""),"",TEXT($B132,"00")&amp;"."&amp;COUNTIFS($A$2:$A132,$A132,$B$2:$B132,$B132))</f>
        <v/>
      </c>
      <c r="D132" s="11" t="n"/>
      <c r="E132" s="10" t="n"/>
      <c r="F132" s="11" t="n"/>
    </row>
    <row r="133">
      <c r="A133" s="12" t="n"/>
      <c r="B133" s="10" t="n"/>
      <c r="C133" s="14">
        <f>IF(OR($A133="",$B133=""),"",TEXT($B133,"00")&amp;"."&amp;COUNTIFS($A$2:$A133,$A133,$B$2:$B133,$B133))</f>
        <v/>
      </c>
      <c r="D133" s="11" t="n"/>
      <c r="E133" s="10" t="n"/>
      <c r="F133" s="11" t="n"/>
    </row>
    <row r="134">
      <c r="A134" s="12" t="n"/>
      <c r="B134" s="10" t="n"/>
      <c r="C134" s="14">
        <f>IF(OR($A134="",$B134=""),"",TEXT($B134,"00")&amp;"."&amp;COUNTIFS($A$2:$A134,$A134,$B$2:$B134,$B134))</f>
        <v/>
      </c>
      <c r="D134" s="11" t="n"/>
      <c r="E134" s="10" t="n"/>
      <c r="F134" s="11" t="n"/>
    </row>
    <row r="135">
      <c r="A135" s="12" t="n"/>
      <c r="B135" s="10" t="n"/>
      <c r="C135" s="14">
        <f>IF(OR($A135="",$B135=""),"",TEXT($B135,"00")&amp;"."&amp;COUNTIFS($A$2:$A135,$A135,$B$2:$B135,$B135))</f>
        <v/>
      </c>
      <c r="D135" s="11" t="n"/>
      <c r="E135" s="10" t="n"/>
      <c r="F135" s="11" t="n"/>
    </row>
    <row r="136">
      <c r="A136" s="12" t="n"/>
      <c r="B136" s="10" t="n"/>
      <c r="C136" s="14">
        <f>IF(OR($A136="",$B136=""),"",TEXT($B136,"00")&amp;"."&amp;COUNTIFS($A$2:$A136,$A136,$B$2:$B136,$B136))</f>
        <v/>
      </c>
      <c r="D136" s="11" t="n"/>
      <c r="E136" s="10" t="n"/>
      <c r="F136" s="11" t="n"/>
    </row>
    <row r="137">
      <c r="A137" s="12" t="n"/>
      <c r="B137" s="10" t="n"/>
      <c r="C137" s="14">
        <f>IF(OR($A137="",$B137=""),"",TEXT($B137,"00")&amp;"."&amp;COUNTIFS($A$2:$A137,$A137,$B$2:$B137,$B137))</f>
        <v/>
      </c>
      <c r="D137" s="11" t="n"/>
      <c r="E137" s="10" t="n"/>
      <c r="F137" s="11" t="n"/>
    </row>
    <row r="138">
      <c r="A138" s="12" t="n"/>
      <c r="B138" s="10" t="n"/>
      <c r="C138" s="14">
        <f>IF(OR($A138="",$B138=""),"",TEXT($B138,"00")&amp;"."&amp;COUNTIFS($A$2:$A138,$A138,$B$2:$B138,$B138))</f>
        <v/>
      </c>
      <c r="D138" s="11" t="n"/>
      <c r="E138" s="10" t="n"/>
      <c r="F138" s="11" t="n"/>
    </row>
    <row r="139">
      <c r="A139" s="12" t="n"/>
      <c r="B139" s="10" t="n"/>
      <c r="C139" s="14">
        <f>IF(OR($A139="",$B139=""),"",TEXT($B139,"00")&amp;"."&amp;COUNTIFS($A$2:$A139,$A139,$B$2:$B139,$B139))</f>
        <v/>
      </c>
      <c r="D139" s="11" t="n"/>
      <c r="E139" s="10" t="n"/>
      <c r="F139" s="11" t="n"/>
    </row>
    <row r="140">
      <c r="A140" s="12" t="n"/>
      <c r="B140" s="10" t="n"/>
      <c r="C140" s="14">
        <f>IF(OR($A140="",$B140=""),"",TEXT($B140,"00")&amp;"."&amp;COUNTIFS($A$2:$A140,$A140,$B$2:$B140,$B140))</f>
        <v/>
      </c>
      <c r="D140" s="11" t="n"/>
      <c r="E140" s="10" t="n"/>
      <c r="F140" s="11" t="n"/>
    </row>
    <row r="141">
      <c r="A141" s="12" t="n"/>
      <c r="B141" s="10" t="n"/>
      <c r="C141" s="14">
        <f>IF(OR($A141="",$B141=""),"",TEXT($B141,"00")&amp;"."&amp;COUNTIFS($A$2:$A141,$A141,$B$2:$B141,$B141))</f>
        <v/>
      </c>
      <c r="D141" s="11" t="n"/>
      <c r="E141" s="10" t="n"/>
      <c r="F141" s="11" t="n"/>
    </row>
    <row r="142">
      <c r="A142" s="12" t="n"/>
      <c r="B142" s="10" t="n"/>
      <c r="C142" s="14">
        <f>IF(OR($A142="",$B142=""),"",TEXT($B142,"00")&amp;"."&amp;COUNTIFS($A$2:$A142,$A142,$B$2:$B142,$B142))</f>
        <v/>
      </c>
      <c r="D142" s="11" t="n"/>
      <c r="E142" s="10" t="n"/>
      <c r="F142" s="11" t="n"/>
    </row>
    <row r="143">
      <c r="A143" s="12" t="n"/>
      <c r="B143" s="10" t="n"/>
      <c r="C143" s="14">
        <f>IF(OR($A143="",$B143=""),"",TEXT($B143,"00")&amp;"."&amp;COUNTIFS($A$2:$A143,$A143,$B$2:$B143,$B143))</f>
        <v/>
      </c>
      <c r="D143" s="11" t="n"/>
      <c r="E143" s="10" t="n"/>
      <c r="F143" s="11" t="n"/>
    </row>
    <row r="144">
      <c r="A144" s="12" t="n"/>
      <c r="B144" s="10" t="n"/>
      <c r="C144" s="14">
        <f>IF(OR($A144="",$B144=""),"",TEXT($B144,"00")&amp;"."&amp;COUNTIFS($A$2:$A144,$A144,$B$2:$B144,$B144))</f>
        <v/>
      </c>
      <c r="D144" s="11" t="n"/>
      <c r="E144" s="10" t="n"/>
      <c r="F144" s="11" t="n"/>
    </row>
    <row r="145">
      <c r="A145" s="12" t="n"/>
      <c r="B145" s="10" t="n"/>
      <c r="C145" s="14">
        <f>IF(OR($A145="",$B145=""),"",TEXT($B145,"00")&amp;"."&amp;COUNTIFS($A$2:$A145,$A145,$B$2:$B145,$B145))</f>
        <v/>
      </c>
      <c r="D145" s="11" t="n"/>
      <c r="E145" s="10" t="n"/>
      <c r="F145" s="11" t="n"/>
    </row>
    <row r="146">
      <c r="A146" s="12" t="n"/>
      <c r="B146" s="10" t="n"/>
      <c r="C146" s="14">
        <f>IF(OR($A146="",$B146=""),"",TEXT($B146,"00")&amp;"."&amp;COUNTIFS($A$2:$A146,$A146,$B$2:$B146,$B146))</f>
        <v/>
      </c>
      <c r="D146" s="11" t="n"/>
      <c r="E146" s="10" t="n"/>
      <c r="F146" s="11" t="n"/>
    </row>
    <row r="147">
      <c r="A147" s="12" t="n"/>
      <c r="B147" s="10" t="n"/>
      <c r="C147" s="14">
        <f>IF(OR($A147="",$B147=""),"",TEXT($B147,"00")&amp;"."&amp;COUNTIFS($A$2:$A147,$A147,$B$2:$B147,$B147))</f>
        <v/>
      </c>
      <c r="D147" s="11" t="n"/>
      <c r="E147" s="10" t="n"/>
      <c r="F147" s="11" t="n"/>
    </row>
    <row r="148">
      <c r="A148" s="12" t="n"/>
      <c r="B148" s="10" t="n"/>
      <c r="C148" s="14">
        <f>IF(OR($A148="",$B148=""),"",TEXT($B148,"00")&amp;"."&amp;COUNTIFS($A$2:$A148,$A148,$B$2:$B148,$B148))</f>
        <v/>
      </c>
      <c r="D148" s="11" t="n"/>
      <c r="E148" s="10" t="n"/>
      <c r="F148" s="11" t="n"/>
    </row>
    <row r="149">
      <c r="A149" s="12" t="n"/>
      <c r="B149" s="10" t="n"/>
      <c r="C149" s="14">
        <f>IF(OR($A149="",$B149=""),"",TEXT($B149,"00")&amp;"."&amp;COUNTIFS($A$2:$A149,$A149,$B$2:$B149,$B149))</f>
        <v/>
      </c>
      <c r="D149" s="11" t="n"/>
      <c r="E149" s="10" t="n"/>
      <c r="F149" s="11" t="n"/>
    </row>
    <row r="150">
      <c r="A150" s="12" t="n"/>
      <c r="B150" s="10" t="n"/>
      <c r="C150" s="14">
        <f>IF(OR($A150="",$B150=""),"",TEXT($B150,"00")&amp;"."&amp;COUNTIFS($A$2:$A150,$A150,$B$2:$B150,$B150))</f>
        <v/>
      </c>
      <c r="D150" s="11" t="n"/>
      <c r="E150" s="10" t="n"/>
      <c r="F150" s="11" t="n"/>
    </row>
    <row r="151">
      <c r="A151" s="12" t="n"/>
      <c r="B151" s="10" t="n"/>
      <c r="C151" s="14">
        <f>IF(OR($A151="",$B151=""),"",TEXT($B151,"00")&amp;"."&amp;COUNTIFS($A$2:$A151,$A151,$B$2:$B151,$B151))</f>
        <v/>
      </c>
      <c r="D151" s="11" t="n"/>
      <c r="E151" s="10" t="n"/>
      <c r="F151" s="11" t="n"/>
    </row>
    <row r="152">
      <c r="A152" s="12" t="n"/>
      <c r="B152" s="10" t="n"/>
      <c r="C152" s="14">
        <f>IF(OR($A152="",$B152=""),"",TEXT($B152,"00")&amp;"."&amp;COUNTIFS($A$2:$A152,$A152,$B$2:$B152,$B152))</f>
        <v/>
      </c>
      <c r="D152" s="11" t="n"/>
      <c r="E152" s="10" t="n"/>
      <c r="F152" s="11" t="n"/>
    </row>
    <row r="153">
      <c r="A153" s="12" t="n"/>
      <c r="B153" s="10" t="n"/>
      <c r="C153" s="14">
        <f>IF(OR($A153="",$B153=""),"",TEXT($B153,"00")&amp;"."&amp;COUNTIFS($A$2:$A153,$A153,$B$2:$B153,$B153))</f>
        <v/>
      </c>
      <c r="D153" s="11" t="n"/>
      <c r="E153" s="10" t="n"/>
      <c r="F153" s="11" t="n"/>
    </row>
    <row r="154">
      <c r="A154" s="12" t="n"/>
      <c r="B154" s="10" t="n"/>
      <c r="C154" s="14">
        <f>IF(OR($A154="",$B154=""),"",TEXT($B154,"00")&amp;"."&amp;COUNTIFS($A$2:$A154,$A154,$B$2:$B154,$B154))</f>
        <v/>
      </c>
      <c r="D154" s="11" t="n"/>
      <c r="E154" s="10" t="n"/>
      <c r="F154" s="11" t="n"/>
    </row>
    <row r="155">
      <c r="A155" s="12" t="n"/>
      <c r="B155" s="10" t="n"/>
      <c r="C155" s="14">
        <f>IF(OR($A155="",$B155=""),"",TEXT($B155,"00")&amp;"."&amp;COUNTIFS($A$2:$A155,$A155,$B$2:$B155,$B155))</f>
        <v/>
      </c>
      <c r="D155" s="11" t="n"/>
      <c r="E155" s="10" t="n"/>
      <c r="F155" s="11" t="n"/>
    </row>
    <row r="156">
      <c r="A156" s="12" t="n"/>
      <c r="B156" s="10" t="n"/>
      <c r="C156" s="14">
        <f>IF(OR($A156="",$B156=""),"",TEXT($B156,"00")&amp;"."&amp;COUNTIFS($A$2:$A156,$A156,$B$2:$B156,$B156))</f>
        <v/>
      </c>
      <c r="D156" s="11" t="n"/>
      <c r="E156" s="10" t="n"/>
      <c r="F156" s="11" t="n"/>
    </row>
    <row r="157">
      <c r="A157" s="12" t="n"/>
      <c r="B157" s="10" t="n"/>
      <c r="C157" s="14">
        <f>IF(OR($A157="",$B157=""),"",TEXT($B157,"00")&amp;"."&amp;COUNTIFS($A$2:$A157,$A157,$B$2:$B157,$B157))</f>
        <v/>
      </c>
      <c r="D157" s="11" t="n"/>
      <c r="E157" s="10" t="n"/>
      <c r="F157" s="11" t="n"/>
    </row>
    <row r="158">
      <c r="A158" s="12" t="n"/>
      <c r="B158" s="10" t="n"/>
      <c r="C158" s="14">
        <f>IF(OR($A158="",$B158=""),"",TEXT($B158,"00")&amp;"."&amp;COUNTIFS($A$2:$A158,$A158,$B$2:$B158,$B158))</f>
        <v/>
      </c>
      <c r="D158" s="11" t="n"/>
      <c r="E158" s="10" t="n"/>
      <c r="F158" s="11" t="n"/>
    </row>
    <row r="159">
      <c r="A159" s="12" t="n"/>
      <c r="B159" s="10" t="n"/>
      <c r="C159" s="14">
        <f>IF(OR($A159="",$B159=""),"",TEXT($B159,"00")&amp;"."&amp;COUNTIFS($A$2:$A159,$A159,$B$2:$B159,$B159))</f>
        <v/>
      </c>
      <c r="D159" s="11" t="n"/>
      <c r="E159" s="10" t="n"/>
      <c r="F159" s="11" t="n"/>
    </row>
    <row r="160">
      <c r="A160" s="12" t="n"/>
      <c r="B160" s="10" t="n"/>
      <c r="C160" s="14">
        <f>IF(OR($A160="",$B160=""),"",TEXT($B160,"00")&amp;"."&amp;COUNTIFS($A$2:$A160,$A160,$B$2:$B160,$B160))</f>
        <v/>
      </c>
      <c r="D160" s="11" t="n"/>
      <c r="E160" s="10" t="n"/>
      <c r="F160" s="11" t="n"/>
    </row>
    <row r="161">
      <c r="A161" s="12" t="n"/>
      <c r="B161" s="10" t="n"/>
      <c r="C161" s="14">
        <f>IF(OR($A161="",$B161=""),"",TEXT($B161,"00")&amp;"."&amp;COUNTIFS($A$2:$A161,$A161,$B$2:$B161,$B161))</f>
        <v/>
      </c>
      <c r="D161" s="11" t="n"/>
      <c r="E161" s="10" t="n"/>
      <c r="F161" s="11" t="n"/>
    </row>
    <row r="162">
      <c r="A162" s="12" t="n"/>
      <c r="B162" s="10" t="n"/>
      <c r="C162" s="14">
        <f>IF(OR($A162="",$B162=""),"",TEXT($B162,"00")&amp;"."&amp;COUNTIFS($A$2:$A162,$A162,$B$2:$B162,$B162))</f>
        <v/>
      </c>
      <c r="D162" s="11" t="n"/>
      <c r="E162" s="10" t="n"/>
      <c r="F162" s="11" t="n"/>
    </row>
    <row r="163">
      <c r="A163" s="12" t="n"/>
      <c r="B163" s="10" t="n"/>
      <c r="C163" s="14">
        <f>IF(OR($A163="",$B163=""),"",TEXT($B163,"00")&amp;"."&amp;COUNTIFS($A$2:$A163,$A163,$B$2:$B163,$B163))</f>
        <v/>
      </c>
      <c r="D163" s="11" t="n"/>
      <c r="E163" s="10" t="n"/>
      <c r="F163" s="11" t="n"/>
    </row>
    <row r="164">
      <c r="A164" s="12" t="n"/>
      <c r="B164" s="10" t="n"/>
      <c r="C164" s="14">
        <f>IF(OR($A164="",$B164=""),"",TEXT($B164,"00")&amp;"."&amp;COUNTIFS($A$2:$A164,$A164,$B$2:$B164,$B164))</f>
        <v/>
      </c>
      <c r="D164" s="11" t="n"/>
      <c r="E164" s="10" t="n"/>
      <c r="F164" s="11" t="n"/>
    </row>
    <row r="165">
      <c r="A165" s="12" t="n"/>
      <c r="B165" s="10" t="n"/>
      <c r="C165" s="14">
        <f>IF(OR($A165="",$B165=""),"",TEXT($B165,"00")&amp;"."&amp;COUNTIFS($A$2:$A165,$A165,$B$2:$B165,$B165))</f>
        <v/>
      </c>
      <c r="D165" s="11" t="n"/>
      <c r="E165" s="10" t="n"/>
      <c r="F165" s="11" t="n"/>
    </row>
    <row r="166">
      <c r="A166" s="12" t="n"/>
      <c r="B166" s="10" t="n"/>
      <c r="C166" s="14">
        <f>IF(OR($A166="",$B166=""),"",TEXT($B166,"00")&amp;"."&amp;COUNTIFS($A$2:$A166,$A166,$B$2:$B166,$B166))</f>
        <v/>
      </c>
      <c r="D166" s="11" t="n"/>
      <c r="E166" s="10" t="n"/>
      <c r="F166" s="11" t="n"/>
    </row>
    <row r="167">
      <c r="A167" s="12" t="n"/>
      <c r="B167" s="10" t="n"/>
      <c r="C167" s="14">
        <f>IF(OR($A167="",$B167=""),"",TEXT($B167,"00")&amp;"."&amp;COUNTIFS($A$2:$A167,$A167,$B$2:$B167,$B167))</f>
        <v/>
      </c>
      <c r="D167" s="11" t="n"/>
      <c r="E167" s="10" t="n"/>
      <c r="F167" s="11" t="n"/>
    </row>
    <row r="168">
      <c r="A168" s="12" t="n"/>
      <c r="B168" s="10" t="n"/>
      <c r="C168" s="14">
        <f>IF(OR($A168="",$B168=""),"",TEXT($B168,"00")&amp;"."&amp;COUNTIFS($A$2:$A168,$A168,$B$2:$B168,$B168))</f>
        <v/>
      </c>
      <c r="D168" s="11" t="n"/>
      <c r="E168" s="10" t="n"/>
      <c r="F168" s="11" t="n"/>
    </row>
    <row r="169">
      <c r="A169" s="12" t="n"/>
      <c r="B169" s="10" t="n"/>
      <c r="C169" s="14">
        <f>IF(OR($A169="",$B169=""),"",TEXT($B169,"00")&amp;"."&amp;COUNTIFS($A$2:$A169,$A169,$B$2:$B169,$B169))</f>
        <v/>
      </c>
      <c r="D169" s="11" t="n"/>
      <c r="E169" s="10" t="n"/>
      <c r="F169" s="11" t="n"/>
    </row>
    <row r="170">
      <c r="A170" s="12" t="n"/>
      <c r="B170" s="10" t="n"/>
      <c r="C170" s="14">
        <f>IF(OR($A170="",$B170=""),"",TEXT($B170,"00")&amp;"."&amp;COUNTIFS($A$2:$A170,$A170,$B$2:$B170,$B170))</f>
        <v/>
      </c>
      <c r="D170" s="11" t="n"/>
      <c r="E170" s="10" t="n"/>
      <c r="F170" s="11" t="n"/>
    </row>
    <row r="171">
      <c r="A171" s="12" t="n"/>
      <c r="B171" s="10" t="n"/>
      <c r="C171" s="14">
        <f>IF(OR($A171="",$B171=""),"",TEXT($B171,"00")&amp;"."&amp;COUNTIFS($A$2:$A171,$A171,$B$2:$B171,$B171))</f>
        <v/>
      </c>
      <c r="D171" s="11" t="n"/>
      <c r="E171" s="10" t="n"/>
      <c r="F171" s="11" t="n"/>
    </row>
    <row r="172">
      <c r="A172" s="12" t="n"/>
      <c r="B172" s="10" t="n"/>
      <c r="C172" s="14">
        <f>IF(OR($A172="",$B172=""),"",TEXT($B172,"00")&amp;"."&amp;COUNTIFS($A$2:$A172,$A172,$B$2:$B172,$B172))</f>
        <v/>
      </c>
      <c r="D172" s="11" t="n"/>
      <c r="E172" s="10" t="n"/>
      <c r="F172" s="11" t="n"/>
    </row>
    <row r="173">
      <c r="A173" s="12" t="n"/>
      <c r="B173" s="10" t="n"/>
      <c r="C173" s="14">
        <f>IF(OR($A173="",$B173=""),"",TEXT($B173,"00")&amp;"."&amp;COUNTIFS($A$2:$A173,$A173,$B$2:$B173,$B173))</f>
        <v/>
      </c>
      <c r="D173" s="11" t="n"/>
      <c r="E173" s="10" t="n"/>
      <c r="F173" s="11" t="n"/>
    </row>
    <row r="174">
      <c r="A174" s="12" t="n"/>
      <c r="B174" s="10" t="n"/>
      <c r="C174" s="14">
        <f>IF(OR($A174="",$B174=""),"",TEXT($B174,"00")&amp;"."&amp;COUNTIFS($A$2:$A174,$A174,$B$2:$B174,$B174))</f>
        <v/>
      </c>
      <c r="D174" s="11" t="n"/>
      <c r="E174" s="10" t="n"/>
      <c r="F174" s="11" t="n"/>
    </row>
    <row r="175">
      <c r="A175" s="12" t="n"/>
      <c r="B175" s="10" t="n"/>
      <c r="C175" s="14">
        <f>IF(OR($A175="",$B175=""),"",TEXT($B175,"00")&amp;"."&amp;COUNTIFS($A$2:$A175,$A175,$B$2:$B175,$B175))</f>
        <v/>
      </c>
      <c r="D175" s="11" t="n"/>
      <c r="E175" s="10" t="n"/>
      <c r="F175" s="11" t="n"/>
    </row>
    <row r="176">
      <c r="A176" s="12" t="n"/>
      <c r="B176" s="10" t="n"/>
      <c r="C176" s="14">
        <f>IF(OR($A176="",$B176=""),"",TEXT($B176,"00")&amp;"."&amp;COUNTIFS($A$2:$A176,$A176,$B$2:$B176,$B176))</f>
        <v/>
      </c>
      <c r="D176" s="11" t="n"/>
      <c r="E176" s="10" t="n"/>
      <c r="F176" s="11" t="n"/>
    </row>
    <row r="177">
      <c r="A177" s="12" t="n"/>
      <c r="B177" s="10" t="n"/>
      <c r="C177" s="14">
        <f>IF(OR($A177="",$B177=""),"",TEXT($B177,"00")&amp;"."&amp;COUNTIFS($A$2:$A177,$A177,$B$2:$B177,$B177))</f>
        <v/>
      </c>
      <c r="D177" s="11" t="n"/>
      <c r="E177" s="10" t="n"/>
      <c r="F177" s="11" t="n"/>
    </row>
    <row r="178">
      <c r="A178" s="12" t="n"/>
      <c r="B178" s="10" t="n"/>
      <c r="C178" s="14">
        <f>IF(OR($A178="",$B178=""),"",TEXT($B178,"00")&amp;"."&amp;COUNTIFS($A$2:$A178,$A178,$B$2:$B178,$B178))</f>
        <v/>
      </c>
      <c r="D178" s="11" t="n"/>
      <c r="E178" s="10" t="n"/>
      <c r="F178" s="11" t="n"/>
    </row>
    <row r="179">
      <c r="A179" s="12" t="n"/>
      <c r="B179" s="10" t="n"/>
      <c r="C179" s="14">
        <f>IF(OR($A179="",$B179=""),"",TEXT($B179,"00")&amp;"."&amp;COUNTIFS($A$2:$A179,$A179,$B$2:$B179,$B179))</f>
        <v/>
      </c>
      <c r="D179" s="11" t="n"/>
      <c r="E179" s="10" t="n"/>
      <c r="F179" s="11" t="n"/>
    </row>
    <row r="180">
      <c r="A180" s="12" t="n"/>
      <c r="B180" s="10" t="n"/>
      <c r="C180" s="14">
        <f>IF(OR($A180="",$B180=""),"",TEXT($B180,"00")&amp;"."&amp;COUNTIFS($A$2:$A180,$A180,$B$2:$B180,$B180))</f>
        <v/>
      </c>
      <c r="D180" s="11" t="n"/>
      <c r="E180" s="10" t="n"/>
      <c r="F180" s="11" t="n"/>
    </row>
    <row r="181">
      <c r="A181" s="12" t="n"/>
      <c r="B181" s="10" t="n"/>
      <c r="C181" s="14">
        <f>IF(OR($A181="",$B181=""),"",TEXT($B181,"00")&amp;"."&amp;COUNTIFS($A$2:$A181,$A181,$B$2:$B181,$B181))</f>
        <v/>
      </c>
      <c r="D181" s="11" t="n"/>
      <c r="E181" s="10" t="n"/>
      <c r="F181" s="11" t="n"/>
    </row>
    <row r="182">
      <c r="A182" s="12" t="n"/>
      <c r="B182" s="10" t="n"/>
      <c r="C182" s="14">
        <f>IF(OR($A182="",$B182=""),"",TEXT($B182,"00")&amp;"."&amp;COUNTIFS($A$2:$A182,$A182,$B$2:$B182,$B182))</f>
        <v/>
      </c>
      <c r="D182" s="11" t="n"/>
      <c r="E182" s="10" t="n"/>
      <c r="F182" s="11" t="n"/>
    </row>
    <row r="183">
      <c r="A183" s="12" t="n"/>
      <c r="B183" s="10" t="n"/>
      <c r="C183" s="14">
        <f>IF(OR($A183="",$B183=""),"",TEXT($B183,"00")&amp;"."&amp;COUNTIFS($A$2:$A183,$A183,$B$2:$B183,$B183))</f>
        <v/>
      </c>
      <c r="D183" s="11" t="n"/>
      <c r="E183" s="10" t="n"/>
      <c r="F183" s="11" t="n"/>
    </row>
    <row r="184">
      <c r="A184" s="12" t="n"/>
      <c r="B184" s="10" t="n"/>
      <c r="C184" s="14">
        <f>IF(OR($A184="",$B184=""),"",TEXT($B184,"00")&amp;"."&amp;COUNTIFS($A$2:$A184,$A184,$B$2:$B184,$B184))</f>
        <v/>
      </c>
      <c r="D184" s="11" t="n"/>
      <c r="E184" s="10" t="n"/>
      <c r="F184" s="11" t="n"/>
    </row>
    <row r="185">
      <c r="A185" s="12" t="n"/>
      <c r="B185" s="10" t="n"/>
      <c r="C185" s="14">
        <f>IF(OR($A185="",$B185=""),"",TEXT($B185,"00")&amp;"."&amp;COUNTIFS($A$2:$A185,$A185,$B$2:$B185,$B185))</f>
        <v/>
      </c>
      <c r="D185" s="11" t="n"/>
      <c r="E185" s="10" t="n"/>
      <c r="F185" s="11" t="n"/>
    </row>
    <row r="186">
      <c r="A186" s="12" t="n"/>
      <c r="B186" s="10" t="n"/>
      <c r="C186" s="14">
        <f>IF(OR($A186="",$B186=""),"",TEXT($B186,"00")&amp;"."&amp;COUNTIFS($A$2:$A186,$A186,$B$2:$B186,$B186))</f>
        <v/>
      </c>
      <c r="D186" s="11" t="n"/>
      <c r="E186" s="10" t="n"/>
      <c r="F186" s="11" t="n"/>
    </row>
    <row r="187">
      <c r="A187" s="12" t="n"/>
      <c r="B187" s="10" t="n"/>
      <c r="C187" s="14">
        <f>IF(OR($A187="",$B187=""),"",TEXT($B187,"00")&amp;"."&amp;COUNTIFS($A$2:$A187,$A187,$B$2:$B187,$B187))</f>
        <v/>
      </c>
      <c r="D187" s="11" t="n"/>
      <c r="E187" s="10" t="n"/>
      <c r="F187" s="11" t="n"/>
    </row>
    <row r="188">
      <c r="A188" s="12" t="n"/>
      <c r="B188" s="10" t="n"/>
      <c r="C188" s="14">
        <f>IF(OR($A188="",$B188=""),"",TEXT($B188,"00")&amp;"."&amp;COUNTIFS($A$2:$A188,$A188,$B$2:$B188,$B188))</f>
        <v/>
      </c>
      <c r="D188" s="11" t="n"/>
      <c r="E188" s="10" t="n"/>
      <c r="F188" s="11" t="n"/>
    </row>
    <row r="189">
      <c r="A189" s="12" t="n"/>
      <c r="B189" s="10" t="n"/>
      <c r="C189" s="14">
        <f>IF(OR($A189="",$B189=""),"",TEXT($B189,"00")&amp;"."&amp;COUNTIFS($A$2:$A189,$A189,$B$2:$B189,$B189))</f>
        <v/>
      </c>
      <c r="D189" s="11" t="n"/>
      <c r="E189" s="10" t="n"/>
      <c r="F189" s="11" t="n"/>
    </row>
    <row r="190">
      <c r="A190" s="12" t="n"/>
      <c r="B190" s="10" t="n"/>
      <c r="C190" s="14">
        <f>IF(OR($A190="",$B190=""),"",TEXT($B190,"00")&amp;"."&amp;COUNTIFS($A$2:$A190,$A190,$B$2:$B190,$B190))</f>
        <v/>
      </c>
      <c r="D190" s="11" t="n"/>
      <c r="E190" s="10" t="n"/>
      <c r="F190" s="11" t="n"/>
    </row>
    <row r="191">
      <c r="A191" s="12" t="n"/>
      <c r="B191" s="10" t="n"/>
      <c r="C191" s="14">
        <f>IF(OR($A191="",$B191=""),"",TEXT($B191,"00")&amp;"."&amp;COUNTIFS($A$2:$A191,$A191,$B$2:$B191,$B191))</f>
        <v/>
      </c>
      <c r="D191" s="11" t="n"/>
      <c r="E191" s="10" t="n"/>
      <c r="F191" s="11" t="n"/>
    </row>
    <row r="192">
      <c r="A192" s="12" t="n"/>
      <c r="B192" s="10" t="n"/>
      <c r="C192" s="14">
        <f>IF(OR($A192="",$B192=""),"",TEXT($B192,"00")&amp;"."&amp;COUNTIFS($A$2:$A192,$A192,$B$2:$B192,$B192))</f>
        <v/>
      </c>
      <c r="D192" s="11" t="n"/>
      <c r="E192" s="10" t="n"/>
      <c r="F192" s="11" t="n"/>
    </row>
    <row r="193">
      <c r="A193" s="12" t="n"/>
      <c r="B193" s="10" t="n"/>
      <c r="C193" s="14">
        <f>IF(OR($A193="",$B193=""),"",TEXT($B193,"00")&amp;"."&amp;COUNTIFS($A$2:$A193,$A193,$B$2:$B193,$B193))</f>
        <v/>
      </c>
      <c r="D193" s="11" t="n"/>
      <c r="E193" s="10" t="n"/>
      <c r="F193" s="11" t="n"/>
    </row>
    <row r="194">
      <c r="A194" s="12" t="n"/>
      <c r="B194" s="10" t="n"/>
      <c r="C194" s="14">
        <f>IF(OR($A194="",$B194=""),"",TEXT($B194,"00")&amp;"."&amp;COUNTIFS($A$2:$A194,$A194,$B$2:$B194,$B194))</f>
        <v/>
      </c>
      <c r="D194" s="11" t="n"/>
      <c r="E194" s="10" t="n"/>
      <c r="F194" s="11" t="n"/>
    </row>
    <row r="195">
      <c r="A195" s="12" t="n"/>
      <c r="B195" s="10" t="n"/>
      <c r="C195" s="14">
        <f>IF(OR($A195="",$B195=""),"",TEXT($B195,"00")&amp;"."&amp;COUNTIFS($A$2:$A195,$A195,$B$2:$B195,$B195))</f>
        <v/>
      </c>
      <c r="D195" s="11" t="n"/>
      <c r="E195" s="10" t="n"/>
      <c r="F195" s="11" t="n"/>
    </row>
    <row r="196">
      <c r="A196" s="12" t="n"/>
      <c r="B196" s="10" t="n"/>
      <c r="C196" s="14">
        <f>IF(OR($A196="",$B196=""),"",TEXT($B196,"00")&amp;"."&amp;COUNTIFS($A$2:$A196,$A196,$B$2:$B196,$B196))</f>
        <v/>
      </c>
      <c r="D196" s="11" t="n"/>
      <c r="E196" s="10" t="n"/>
      <c r="F196" s="11" t="n"/>
    </row>
    <row r="197">
      <c r="A197" s="12" t="n"/>
      <c r="B197" s="10" t="n"/>
      <c r="C197" s="14">
        <f>IF(OR($A197="",$B197=""),"",TEXT($B197,"00")&amp;"."&amp;COUNTIFS($A$2:$A197,$A197,$B$2:$B197,$B197))</f>
        <v/>
      </c>
      <c r="D197" s="11" t="n"/>
      <c r="E197" s="10" t="n"/>
      <c r="F197" s="11" t="n"/>
    </row>
    <row r="198">
      <c r="A198" s="12" t="n"/>
      <c r="B198" s="10" t="n"/>
      <c r="C198" s="14">
        <f>IF(OR($A198="",$B198=""),"",TEXT($B198,"00")&amp;"."&amp;COUNTIFS($A$2:$A198,$A198,$B$2:$B198,$B198))</f>
        <v/>
      </c>
      <c r="D198" s="11" t="n"/>
      <c r="E198" s="10" t="n"/>
      <c r="F198" s="11" t="n"/>
    </row>
    <row r="199">
      <c r="A199" s="12" t="n"/>
      <c r="B199" s="10" t="n"/>
      <c r="C199" s="14">
        <f>IF(OR($A199="",$B199=""),"",TEXT($B199,"00")&amp;"."&amp;COUNTIFS($A$2:$A199,$A199,$B$2:$B199,$B199))</f>
        <v/>
      </c>
      <c r="D199" s="11" t="n"/>
      <c r="E199" s="10" t="n"/>
      <c r="F199" s="11" t="n"/>
    </row>
    <row r="200">
      <c r="A200" s="12" t="n"/>
      <c r="B200" s="10" t="n"/>
      <c r="C200" s="14">
        <f>IF(OR($A200="",$B200=""),"",TEXT($B200,"00")&amp;"."&amp;COUNTIFS($A$2:$A200,$A200,$B$2:$B200,$B200))</f>
        <v/>
      </c>
      <c r="D200" s="11" t="n"/>
      <c r="E200" s="10" t="n"/>
      <c r="F200" s="11" t="n"/>
    </row>
    <row r="201">
      <c r="A201" s="12" t="n"/>
      <c r="B201" s="10" t="n"/>
      <c r="C201" s="14">
        <f>IF(OR($A201="",$B201=""),"",TEXT($B201,"00")&amp;"."&amp;COUNTIFS($A$2:$A201,$A201,$B$2:$B201,$B201))</f>
        <v/>
      </c>
      <c r="D201" s="11" t="n"/>
      <c r="E201" s="10" t="n"/>
      <c r="F201" s="11" t="n"/>
    </row>
  </sheetData>
  <autoFilter ref="A1:F1"/>
  <dataValidations count="2">
    <dataValidation sqref="A2:A201" showDropDown="0" showInputMessage="0" showErrorMessage="1" allowBlank="1" error="Pick one of the listed values." type="list">
      <formula1>"6–7 Years,8–10 Years,11–13 Years,13–16 Years"</formula1>
    </dataValidation>
    <dataValidation sqref="E2:E201" showDropDown="0" showInputMessage="0" showErrorMessage="1" allowBlank="1" error="Pick one of the listed values." type="list">
      <formula1>"Core,Supporting"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2026-09-08T04:40:50Z</dcterms:created>
  <dcterms:modified xsi:type="dcterms:W3CDTF">2026-09-08T04:40:50Z</dcterms:modified>
</cp:coreProperties>
</file>