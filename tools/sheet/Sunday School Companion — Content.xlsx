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Config" sheetId="1" state="visible" r:id="rId1"/>
    <sheet name="Nursery" sheetId="2" state="visible" r:id="rId2"/>
    <sheet name="Beginner" sheetId="3" state="visible" r:id="rId3"/>
    <sheet name="Primary" sheetId="4" state="visible" r:id="rId4"/>
    <sheet name="Junior" sheetId="5" state="visible" r:id="rId5"/>
    <sheet name="Intermediate" sheetId="6" state="visible" r:id="rId6"/>
    <sheet name="Senior" sheetId="7" state="visible" r:id="rId7"/>
    <sheet name="Young Adult" sheetId="8" state="visible" r:id="rId8"/>
    <sheet name="Learning Objectives" sheetId="9" state="visible" r:id="rId9"/>
  </sheets>
  <definedNames>
    <definedName name="_xlnm._FilterDatabase" localSheetId="1" hidden="1">'Nursery'!$A$1:$N$1</definedName>
    <definedName name="_xlnm._FilterDatabase" localSheetId="2" hidden="1">'Beginner'!$A$1:$N$1</definedName>
    <definedName name="_xlnm._FilterDatabase" localSheetId="3" hidden="1">'Primary'!$A$1:$N$1</definedName>
    <definedName name="_xlnm._FilterDatabase" localSheetId="4" hidden="1">'Junior'!$A$1:$N$1</definedName>
    <definedName name="_xlnm._FilterDatabase" localSheetId="5" hidden="1">'Intermediate'!$A$1:$N$1</definedName>
    <definedName name="_xlnm._FilterDatabase" localSheetId="6" hidden="1">'Senior'!$A$1:$N$1</definedName>
    <definedName name="_xlnm._FilterDatabase" localSheetId="7" hidden="1">'Young Adult'!$A$1:$N$1</definedName>
    <definedName name="_xlnm._FilterDatabase" localSheetId="8" hidden="1">'Learning Objectives'!$A$1:$F$1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FF0E1731"/>
      <sz val="16"/>
    </font>
    <font>
      <b val="1"/>
    </font>
    <font>
      <i val="1"/>
      <color rgb="FF6B7280"/>
    </font>
    <font>
      <name val="Consolas"/>
      <color rgb="FF6B7280"/>
      <sz val="9"/>
    </font>
    <font>
      <b val="1"/>
      <color rgb="FFF2F0EA"/>
    </font>
    <font>
      <b val="1"/>
      <color rgb="FF6B7280"/>
    </font>
    <font>
      <b val="1"/>
      <color rgb="FFF2F0EA"/>
      <sz val="11"/>
    </font>
    <font>
      <i val="1"/>
      <color rgb="FF6B7280"/>
      <sz val="10"/>
    </font>
  </fonts>
  <fills count="7">
    <fill>
      <patternFill/>
    </fill>
    <fill>
      <patternFill patternType="gray125"/>
    </fill>
    <fill>
      <patternFill patternType="solid">
        <fgColor rgb="FF16224A"/>
      </patternFill>
    </fill>
    <fill>
      <patternFill patternType="solid">
        <fgColor rgb="FFFBFAF7"/>
      </patternFill>
    </fill>
    <fill>
      <patternFill patternType="solid">
        <fgColor rgb="FF0E1731"/>
      </patternFill>
    </fill>
    <fill>
      <patternFill patternType="solid">
        <fgColor rgb="FFF1F3F9"/>
      </patternFill>
    </fill>
    <fill>
      <patternFill patternType="solid">
        <fgColor rgb="FFFDF4E3"/>
      </patternFill>
    </fill>
  </fills>
  <borders count="1">
    <border>
      <left/>
      <right/>
      <top/>
      <bottom/>
      <diagonal/>
    </border>
  </borders>
  <cellStyleXfs count="1">
    <xf numFmtId="0" fontId="0" fillId="0" borderId="0"/>
  </cellStyleXfs>
  <cellXfs count="21">
    <xf numFmtId="0" fontId="0" fillId="0" borderId="0" pivotButton="0" quotePrefix="0" xfId="0"/>
    <xf numFmtId="0" fontId="1" fillId="3"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5" fillId="2" borderId="0" pivotButton="0" quotePrefix="0" xfId="0"/>
    <xf numFmtId="0" fontId="0" fillId="2" borderId="0" pivotButton="0" quotePrefix="0" xfId="0"/>
    <xf numFmtId="0" fontId="6" fillId="3" borderId="0" pivotButton="0" quotePrefix="0" xfId="0"/>
    <xf numFmtId="0" fontId="7" fillId="4" borderId="0" applyAlignment="1" pivotButton="0" quotePrefix="0" xfId="0">
      <alignment vertical="center" wrapText="1"/>
    </xf>
    <xf numFmtId="0" fontId="0" fillId="0" borderId="0" applyAlignment="1" pivotButton="0" quotePrefix="0" xfId="0">
      <alignment horizontal="center" vertical="top"/>
    </xf>
    <xf numFmtId="0" fontId="0" fillId="0" borderId="0" applyAlignment="1" pivotButton="0" quotePrefix="0" xfId="0">
      <alignment vertical="top" wrapText="1"/>
    </xf>
    <xf numFmtId="0" fontId="0" fillId="0" borderId="0" applyAlignment="1" pivotButton="0" quotePrefix="0" xfId="0">
      <alignment vertical="top"/>
    </xf>
    <xf numFmtId="0" fontId="8" fillId="5" borderId="0" applyAlignment="1" pivotButton="0" quotePrefix="0" xfId="0">
      <alignment vertical="top" wrapText="1"/>
    </xf>
    <xf numFmtId="0" fontId="0" fillId="6" borderId="0" applyAlignment="1" pivotButton="0" quotePrefix="0" xfId="0">
      <alignment horizontal="center" vertical="top"/>
    </xf>
    <xf numFmtId="0" fontId="0" fillId="6" borderId="0" applyAlignment="1" pivotButton="0" quotePrefix="0" xfId="0">
      <alignment vertical="top" wrapText="1"/>
    </xf>
    <xf numFmtId="0" fontId="0" fillId="6" borderId="0" applyAlignment="1" pivotButton="0" quotePrefix="0" xfId="0">
      <alignment vertical="top"/>
    </xf>
    <xf numFmtId="0" fontId="8" fillId="6" borderId="0" applyAlignment="1" pivotButton="0" quotePrefix="0" xfId="0">
      <alignment vertical="top" wrapText="1"/>
    </xf>
    <xf numFmtId="0" fontId="8" fillId="6" borderId="0" applyAlignment="1" pivotButton="0" quotePrefix="0" xfId="0">
      <alignment horizontal="center" vertical="top"/>
    </xf>
    <xf numFmtId="0" fontId="8" fillId="5"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Content pipeline</author>
  </authors>
  <commentList>
    <comment ref="A2" authorId="0" shapeId="0">
      <text>
        <t>Provisional class assignment — confirm age group before publishing. See the Notes column.</t>
      </text>
    </comment>
    <comment ref="C2" authorId="0" shapeId="0">
      <text>
        <t>Content-owner confirmation needed: the source lesson and the repository disagree about this passage. See the Notes column.</t>
      </text>
    </comment>
    <comment ref="A3" authorId="0" shapeId="0">
      <text>
        <t>Provisional class assignment — confirm age group before publishing. See the Notes column.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51"/>
  <sheetViews>
    <sheetView showGridLines="0" workbookViewId="0">
      <selection activeCell="A1" sqref="A1"/>
    </sheetView>
  </sheetViews>
  <sheetFormatPr baseColWidth="8" defaultRowHeight="15"/>
  <cols>
    <col width="46" customWidth="1" min="1" max="1"/>
    <col width="26" customWidth="1" min="2" max="2"/>
    <col width="26" customWidth="1" min="3" max="3"/>
    <col width="10" customWidth="1" min="4" max="4"/>
    <col width="52" customWidth="1" min="5" max="5"/>
  </cols>
  <sheetData>
    <row r="1">
      <c r="A1" s="1" t="inlineStr">
        <is>
          <t>Sunday School Companion — Content</t>
        </is>
      </c>
      <c r="B1" s="2" t="n"/>
      <c r="C1" s="2" t="n"/>
      <c r="D1" s="2" t="n"/>
      <c r="E1" s="2" t="n"/>
    </row>
    <row r="2">
      <c r="A2" s="3" t="inlineStr"/>
      <c r="B2" s="2" t="n"/>
      <c r="C2" s="2" t="n"/>
      <c r="D2" s="2" t="n"/>
      <c r="E2" s="2" t="n"/>
    </row>
    <row r="3">
      <c r="A3" s="3" t="inlineStr">
        <is>
          <t>This sheet is where lessons begin. You write what a lesson is about; everything a child eventually sees is made from it later.</t>
        </is>
      </c>
      <c r="B3" s="2" t="n"/>
      <c r="C3" s="2" t="n"/>
      <c r="D3" s="2" t="n"/>
      <c r="E3" s="2" t="n"/>
    </row>
    <row r="4">
      <c r="A4" s="3" t="inlineStr"/>
      <c r="B4" s="2" t="n"/>
      <c r="C4" s="2" t="n"/>
      <c r="D4" s="2" t="n"/>
      <c r="E4" s="2" t="n"/>
    </row>
    <row r="5">
      <c r="A5" s="4" t="inlineStr">
        <is>
          <t>To add a lesson:</t>
        </is>
      </c>
      <c r="B5" s="2" t="n"/>
      <c r="C5" s="2" t="n"/>
      <c r="D5" s="2" t="n"/>
      <c r="E5" s="2" t="n"/>
    </row>
    <row r="6">
      <c r="A6" s="3" t="inlineStr">
        <is>
          <t>1.  Photograph or scan the Samajham pages for the lesson and put them in Google Drive, under your class → the chapter → Curriculum. Any filenames are fine.</t>
        </is>
      </c>
      <c r="B6" s="2" t="n"/>
      <c r="C6" s="2" t="n"/>
      <c r="D6" s="2" t="n"/>
      <c r="E6" s="2" t="n"/>
    </row>
    <row r="7">
      <c r="A7" s="3" t="inlineStr">
        <is>
          <t>2.  Open your class tab here and add a row. Fill in the chapter number, title and Bible reference.</t>
        </is>
      </c>
      <c r="B7" s="2" t="n"/>
      <c r="C7" s="2" t="n"/>
      <c r="D7" s="2" t="n"/>
      <c r="E7" s="2" t="n"/>
    </row>
    <row r="8">
      <c r="A8" s="3" t="inlineStr">
        <is>
          <t>3.  Paste the link to that Drive folder into the Curriculum column. You do not need to type the lesson out.</t>
        </is>
      </c>
      <c r="B8" s="2" t="n"/>
      <c r="C8" s="2" t="n"/>
      <c r="D8" s="2" t="n"/>
      <c r="E8" s="2" t="n"/>
    </row>
    <row r="9">
      <c r="A9" s="3" t="inlineStr">
        <is>
          <t>4.  Go to the Learning Objectives tab and add a row for each thing a child should come away with. One idea per row.</t>
        </is>
      </c>
      <c r="B9" s="2" t="n"/>
      <c r="C9" s="2" t="n"/>
      <c r="D9" s="2" t="n"/>
      <c r="E9" s="2" t="n"/>
    </row>
    <row r="10">
      <c r="A10" s="3" t="inlineStr">
        <is>
          <t>5.  Add the memory verse, a video link and a take-home if the lesson has them. All optional.</t>
        </is>
      </c>
      <c r="B10" s="2" t="n"/>
      <c r="C10" s="2" t="n"/>
      <c r="D10" s="2" t="n"/>
      <c r="E10" s="2" t="n"/>
    </row>
    <row r="11">
      <c r="A11" s="3" t="inlineStr">
        <is>
          <t>6.  Set Status to "Ready for Review". That is all you need to do.</t>
        </is>
      </c>
      <c r="B11" s="2" t="n"/>
      <c r="C11" s="2" t="n"/>
      <c r="D11" s="2" t="n"/>
      <c r="E11" s="2" t="n"/>
    </row>
    <row r="12">
      <c r="A12" s="3" t="inlineStr"/>
      <c r="B12" s="2" t="n"/>
      <c r="C12" s="2" t="n"/>
      <c r="D12" s="2" t="n"/>
      <c r="E12" s="2" t="n"/>
    </row>
    <row r="13">
      <c r="A13" s="5" t="inlineStr">
        <is>
          <t>You never need to write story panels, dialogue, questions or answers. Those are made from the pages you uploaded.</t>
        </is>
      </c>
      <c r="B13" s="2" t="n"/>
      <c r="C13" s="2" t="n"/>
      <c r="D13" s="2" t="n"/>
      <c r="E13" s="2" t="n"/>
    </row>
    <row r="14">
      <c r="A14" s="3" t="inlineStr"/>
      <c r="B14" s="2" t="n"/>
      <c r="C14" s="2" t="n"/>
      <c r="D14" s="2" t="n"/>
      <c r="E14" s="2" t="n"/>
    </row>
    <row r="15">
      <c r="A15" s="3" t="inlineStr">
        <is>
          <t>The Drive folders look like this:</t>
        </is>
      </c>
      <c r="B15" s="2" t="n"/>
      <c r="C15" s="2" t="n"/>
      <c r="D15" s="2" t="n"/>
      <c r="E15" s="2" t="n"/>
    </row>
    <row r="16">
      <c r="A16" s="6" t="inlineStr">
        <is>
          <t xml:space="preserve">      Sunday School Companion / 02 - Beginner / Chapter 01 / 01 - Curriculum Source /</t>
        </is>
      </c>
      <c r="B16" s="2" t="n"/>
      <c r="C16" s="2" t="n"/>
      <c r="D16" s="2" t="n"/>
      <c r="E16" s="2" t="n"/>
    </row>
    <row r="17">
      <c r="A17" s="6" t="inlineStr">
        <is>
          <t xml:space="preserve">                                         / 02 - Teacher Materials /</t>
        </is>
      </c>
      <c r="B17" s="2" t="n"/>
      <c r="C17" s="2" t="n"/>
      <c r="D17" s="2" t="n"/>
      <c r="E17" s="2" t="n"/>
    </row>
    <row r="18">
      <c r="A18" s="6" t="inlineStr">
        <is>
          <t xml:space="preserve">                                         / 03 - Working Content / …</t>
        </is>
      </c>
      <c r="B18" s="2" t="n"/>
      <c r="C18" s="2" t="n"/>
      <c r="D18" s="2" t="n"/>
      <c r="E18" s="2" t="n"/>
    </row>
    <row r="19">
      <c r="A19" s="3" t="inlineStr"/>
      <c r="B19" s="2" t="n"/>
      <c r="C19" s="2" t="n"/>
      <c r="D19" s="2" t="n"/>
      <c r="E19" s="2" t="n"/>
    </row>
    <row r="20">
      <c r="A20" s="5" t="inlineStr">
        <is>
          <t>Chapter 01 rather than Chapter 1 keeps the folders in order, but either is understood.</t>
        </is>
      </c>
      <c r="B20" s="2" t="n"/>
      <c r="C20" s="2" t="n"/>
      <c r="D20" s="2" t="n"/>
      <c r="E20" s="2" t="n"/>
    </row>
    <row r="21">
      <c r="A21" s="3" t="inlineStr"/>
      <c r="B21" s="2" t="n"/>
      <c r="C21" s="2" t="n"/>
      <c r="D21" s="2" t="n"/>
      <c r="E21" s="2" t="n"/>
    </row>
    <row r="22">
      <c r="A22" s="5" t="inlineStr">
        <is>
          <t>Rows shaded pale amber were imported from the app rather than written by a contributor. They are not settled — the Notes column on each one says what still needs deciding, and which class they belong to has not been confirmed.</t>
        </is>
      </c>
      <c r="B22" s="2" t="n"/>
      <c r="C22" s="2" t="n"/>
      <c r="D22" s="2" t="n"/>
      <c r="E22" s="2" t="n"/>
    </row>
    <row r="23">
      <c r="A23" s="3" t="inlineStr"/>
      <c r="B23" s="2" t="n"/>
      <c r="C23" s="2" t="n"/>
      <c r="D23" s="2" t="n"/>
      <c r="E23" s="2" t="n"/>
    </row>
    <row r="24">
      <c r="A24" s="7" t="inlineStr">
        <is>
          <t>Classes</t>
        </is>
      </c>
      <c r="B24" s="8" t="n"/>
      <c r="C24" s="8" t="n"/>
      <c r="D24" s="8" t="n"/>
      <c r="E24" s="8" t="n"/>
    </row>
    <row r="25">
      <c r="A25" s="9" t="inlineStr">
        <is>
          <t>Class ID</t>
        </is>
      </c>
      <c r="B25" s="9" t="inlineStr">
        <is>
          <t>Tab Name</t>
        </is>
      </c>
      <c r="C25" s="9" t="inlineStr">
        <is>
          <t>Display Name</t>
        </is>
      </c>
      <c r="D25" s="9" t="inlineStr">
        <is>
          <t>Order</t>
        </is>
      </c>
      <c r="E25" s="9" t="inlineStr">
        <is>
          <t>Live</t>
        </is>
      </c>
    </row>
    <row r="26">
      <c r="A26" s="3" t="inlineStr">
        <is>
          <t>nursery</t>
        </is>
      </c>
      <c r="B26" s="3" t="inlineStr">
        <is>
          <t>Nursery</t>
        </is>
      </c>
      <c r="C26" s="3" t="inlineStr">
        <is>
          <t>Nursery</t>
        </is>
      </c>
      <c r="D26" s="3" t="n">
        <v>1</v>
      </c>
      <c r="E26" s="3" t="inlineStr">
        <is>
          <t>No</t>
        </is>
      </c>
    </row>
    <row r="27">
      <c r="A27" s="3" t="inlineStr">
        <is>
          <t>beginner</t>
        </is>
      </c>
      <c r="B27" s="3" t="inlineStr">
        <is>
          <t>Beginner</t>
        </is>
      </c>
      <c r="C27" s="3" t="inlineStr">
        <is>
          <t>Beginner</t>
        </is>
      </c>
      <c r="D27" s="3" t="n">
        <v>2</v>
      </c>
      <c r="E27" s="3" t="inlineStr">
        <is>
          <t>Yes</t>
        </is>
      </c>
    </row>
    <row r="28">
      <c r="A28" s="3" t="inlineStr">
        <is>
          <t>primary</t>
        </is>
      </c>
      <c r="B28" s="3" t="inlineStr">
        <is>
          <t>Primary</t>
        </is>
      </c>
      <c r="C28" s="3" t="inlineStr">
        <is>
          <t>Primary</t>
        </is>
      </c>
      <c r="D28" s="3" t="n">
        <v>3</v>
      </c>
      <c r="E28" s="3" t="inlineStr">
        <is>
          <t>No</t>
        </is>
      </c>
    </row>
    <row r="29">
      <c r="A29" s="3" t="inlineStr">
        <is>
          <t>junior</t>
        </is>
      </c>
      <c r="B29" s="3" t="inlineStr">
        <is>
          <t>Junior</t>
        </is>
      </c>
      <c r="C29" s="3" t="inlineStr">
        <is>
          <t>Junior</t>
        </is>
      </c>
      <c r="D29" s="3" t="n">
        <v>4</v>
      </c>
      <c r="E29" s="3" t="inlineStr">
        <is>
          <t>No</t>
        </is>
      </c>
    </row>
    <row r="30">
      <c r="A30" s="3" t="inlineStr">
        <is>
          <t>intermediate</t>
        </is>
      </c>
      <c r="B30" s="3" t="inlineStr">
        <is>
          <t>Intermediate</t>
        </is>
      </c>
      <c r="C30" s="3" t="inlineStr">
        <is>
          <t>Intermediate</t>
        </is>
      </c>
      <c r="D30" s="3" t="n">
        <v>5</v>
      </c>
      <c r="E30" s="3" t="inlineStr">
        <is>
          <t>No</t>
        </is>
      </c>
    </row>
    <row r="31">
      <c r="A31" s="3" t="inlineStr">
        <is>
          <t>senior</t>
        </is>
      </c>
      <c r="B31" s="3" t="inlineStr">
        <is>
          <t>Senior</t>
        </is>
      </c>
      <c r="C31" s="3" t="inlineStr">
        <is>
          <t>Senior</t>
        </is>
      </c>
      <c r="D31" s="3" t="n">
        <v>6</v>
      </c>
      <c r="E31" s="3" t="inlineStr">
        <is>
          <t>No</t>
        </is>
      </c>
    </row>
    <row r="32">
      <c r="A32" s="3" t="inlineStr">
        <is>
          <t>young-adult</t>
        </is>
      </c>
      <c r="B32" s="3" t="inlineStr">
        <is>
          <t>Young Adult</t>
        </is>
      </c>
      <c r="C32" s="3" t="inlineStr">
        <is>
          <t>Young Adult</t>
        </is>
      </c>
      <c r="D32" s="3" t="n">
        <v>7</v>
      </c>
      <c r="E32" s="3" t="inlineStr">
        <is>
          <t>No</t>
        </is>
      </c>
    </row>
    <row r="33">
      <c r="A33" s="2" t="n"/>
      <c r="B33" s="2" t="n"/>
      <c r="C33" s="2" t="n"/>
      <c r="D33" s="2" t="n"/>
      <c r="E33" s="2" t="n"/>
    </row>
    <row r="34">
      <c r="A34" s="7" t="inlineStr">
        <is>
          <t>Statuses</t>
        </is>
      </c>
      <c r="B34" s="8" t="n"/>
      <c r="C34" s="2" t="n"/>
      <c r="D34" s="2" t="n"/>
      <c r="E34" s="2" t="n"/>
    </row>
    <row r="35">
      <c r="A35" s="9" t="inlineStr">
        <is>
          <t>Status</t>
        </is>
      </c>
      <c r="B35" s="9" t="inlineStr">
        <is>
          <t>Means</t>
        </is>
      </c>
      <c r="C35" s="2" t="n"/>
      <c r="D35" s="2" t="n"/>
      <c r="E35" s="2" t="n"/>
    </row>
    <row r="36">
      <c r="A36" s="3" t="inlineStr">
        <is>
          <t>Draft</t>
        </is>
      </c>
      <c r="B36" s="3" t="inlineStr">
        <is>
          <t>Being written. Not in the app.</t>
        </is>
      </c>
      <c r="C36" s="2" t="n"/>
      <c r="D36" s="2" t="n"/>
      <c r="E36" s="2" t="n"/>
    </row>
    <row r="37">
      <c r="A37" s="3" t="inlineStr">
        <is>
          <t>Ready for Review</t>
        </is>
      </c>
      <c r="B37" s="3" t="inlineStr">
        <is>
          <t>Finished by the contributor. Not in the app yet.</t>
        </is>
      </c>
      <c r="C37" s="2" t="n"/>
      <c r="D37" s="2" t="n"/>
      <c r="E37" s="2" t="n"/>
    </row>
    <row r="38">
      <c r="A38" s="3" t="inlineStr">
        <is>
          <t>Published</t>
        </is>
      </c>
      <c r="B38" s="3" t="inlineStr">
        <is>
          <t>Reviewed, made and approved. In the app. Set by the production owner only.</t>
        </is>
      </c>
      <c r="C38" s="2" t="n"/>
      <c r="D38" s="2" t="n"/>
      <c r="E38" s="2" t="n"/>
    </row>
    <row r="39">
      <c r="A39" s="2" t="n"/>
      <c r="B39" s="2" t="n"/>
      <c r="C39" s="2" t="n"/>
      <c r="D39" s="2" t="n"/>
      <c r="E39" s="2" t="n"/>
    </row>
    <row r="40">
      <c r="A40" s="7" t="inlineStr">
        <is>
          <t>Objective Priority</t>
        </is>
      </c>
      <c r="B40" s="8" t="n"/>
      <c r="C40" s="2" t="n"/>
      <c r="D40" s="2" t="n"/>
      <c r="E40" s="2" t="n"/>
    </row>
    <row r="41">
      <c r="A41" s="9" t="inlineStr">
        <is>
          <t>Priority</t>
        </is>
      </c>
      <c r="B41" s="9" t="inlineStr">
        <is>
          <t>Means</t>
        </is>
      </c>
      <c r="C41" s="2" t="n"/>
      <c r="D41" s="2" t="n"/>
      <c r="E41" s="2" t="n"/>
    </row>
    <row r="42">
      <c r="A42" s="3" t="inlineStr">
        <is>
          <t>Core</t>
        </is>
      </c>
      <c r="B42" s="3" t="inlineStr">
        <is>
          <t>Must be covered by a game.</t>
        </is>
      </c>
      <c r="C42" s="2" t="n"/>
      <c r="D42" s="2" t="n"/>
      <c r="E42" s="2" t="n"/>
    </row>
    <row r="43">
      <c r="A43" s="3" t="inlineStr">
        <is>
          <t>Supporting</t>
        </is>
      </c>
      <c r="B43" s="3" t="inlineStr">
        <is>
          <t>Welcome, but optional.</t>
        </is>
      </c>
      <c r="C43" s="2" t="n"/>
      <c r="D43" s="2" t="n"/>
      <c r="E43" s="2" t="n"/>
    </row>
    <row r="44">
      <c r="A44" s="2" t="n"/>
      <c r="B44" s="2" t="n"/>
      <c r="C44" s="2" t="n"/>
      <c r="D44" s="2" t="n"/>
      <c r="E44" s="2" t="n"/>
    </row>
    <row r="45">
      <c r="A45" s="7" t="inlineStr">
        <is>
          <t>Game ideas a contributor can suggest</t>
        </is>
      </c>
      <c r="B45" s="8" t="n"/>
      <c r="C45" s="2" t="n"/>
      <c r="D45" s="2" t="n"/>
      <c r="E45" s="2" t="n"/>
    </row>
    <row r="46">
      <c r="A46" s="9" t="inlineStr">
        <is>
          <t>In the sheet</t>
        </is>
      </c>
      <c r="B46" s="9" t="inlineStr">
        <is>
          <t>What we build</t>
        </is>
      </c>
      <c r="C46" s="2" t="n"/>
      <c r="D46" s="2" t="n"/>
      <c r="E46" s="2" t="n"/>
    </row>
    <row r="47">
      <c r="A47" s="3" t="inlineStr">
        <is>
          <t>Pick the right one</t>
        </is>
      </c>
      <c r="B47" s="3" t="inlineStr">
        <is>
          <t>Selection</t>
        </is>
      </c>
      <c r="C47" s="2" t="n"/>
      <c r="D47" s="2" t="n"/>
      <c r="E47" s="2" t="n"/>
    </row>
    <row r="48">
      <c r="A48" s="3" t="inlineStr">
        <is>
          <t>Match things together</t>
        </is>
      </c>
      <c r="B48" s="3" t="inlineStr">
        <is>
          <t>Pairing</t>
        </is>
      </c>
      <c r="C48" s="2" t="n"/>
      <c r="D48" s="2" t="n"/>
      <c r="E48" s="2" t="n"/>
    </row>
    <row r="49">
      <c r="A49" s="3" t="inlineStr">
        <is>
          <t>Put things in order</t>
        </is>
      </c>
      <c r="B49" s="3" t="inlineStr">
        <is>
          <t>Ordering</t>
        </is>
      </c>
      <c r="C49" s="2" t="n"/>
      <c r="D49" s="2" t="n"/>
      <c r="E49" s="2" t="n"/>
    </row>
    <row r="50">
      <c r="A50" s="3" t="inlineStr">
        <is>
          <t>Explore and find</t>
        </is>
      </c>
      <c r="B50" s="3" t="inlineStr">
        <is>
          <t>Discovery</t>
        </is>
      </c>
      <c r="C50" s="2" t="n"/>
      <c r="D50" s="2" t="n"/>
      <c r="E50" s="2" t="n"/>
    </row>
    <row r="51">
      <c r="A51" s="3" t="inlineStr">
        <is>
          <t>(blank)</t>
        </is>
      </c>
      <c r="B51" s="3" t="inlineStr">
        <is>
          <t>We decide</t>
        </is>
      </c>
      <c r="C51" s="2" t="n"/>
      <c r="D51" s="2" t="n"/>
      <c r="E5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18" customWidth="1" min="3" max="3"/>
    <col width="62" customWidth="1" min="4" max="4"/>
    <col width="42" customWidth="1" min="5" max="5"/>
    <col width="38" customWidth="1" min="6" max="6"/>
    <col width="20" customWidth="1" min="7" max="7"/>
    <col width="26" customWidth="1" min="8" max="8"/>
    <col width="38" customWidth="1" min="9" max="9"/>
    <col width="38" customWidth="1" min="10" max="10"/>
    <col width="30" customWidth="1" min="11" max="11"/>
    <col width="18" customWidth="1" min="12" max="12"/>
    <col width="18" customWidth="1" min="13" max="13"/>
    <col width="40" customWidth="1" min="14" max="14"/>
  </cols>
  <sheetData>
    <row r="1" ht="42" customHeight="1">
      <c r="A1" s="10" t="inlineStr">
        <is>
          <t>Chapter</t>
        </is>
      </c>
      <c r="B1" s="10" t="inlineStr">
        <is>
          <t>Title</t>
        </is>
      </c>
      <c r="C1" s="10" t="inlineStr">
        <is>
          <t>Bible Reference</t>
        </is>
      </c>
      <c r="D1" s="10" t="inlineStr">
        <is>
          <t>Curriculum</t>
        </is>
      </c>
      <c r="E1" s="10" t="inlineStr">
        <is>
          <t>Learning Objectives</t>
        </is>
      </c>
      <c r="F1" s="10" t="inlineStr">
        <is>
          <t>Memory Verse</t>
        </is>
      </c>
      <c r="G1" s="10" t="inlineStr">
        <is>
          <t>Memory Verse Reference</t>
        </is>
      </c>
      <c r="H1" s="10" t="inlineStr">
        <is>
          <t>Video</t>
        </is>
      </c>
      <c r="I1" s="10" t="inlineStr">
        <is>
          <t>Take Home</t>
        </is>
      </c>
      <c r="J1" s="10" t="inlineStr">
        <is>
          <t>Teaching Notes</t>
        </is>
      </c>
      <c r="K1" s="10" t="inlineStr">
        <is>
          <t>Game Suggestion</t>
        </is>
      </c>
      <c r="L1" s="10" t="inlineStr">
        <is>
          <t>Contributor</t>
        </is>
      </c>
      <c r="M1" s="10" t="inlineStr">
        <is>
          <t>Status</t>
        </is>
      </c>
      <c r="N1" s="10" t="inlineStr">
        <is>
          <t>Notes</t>
        </is>
      </c>
    </row>
    <row r="2">
      <c r="A2" s="11" t="n"/>
      <c r="B2" s="12" t="n"/>
      <c r="C2" s="13" t="n"/>
      <c r="D2" s="12" t="n"/>
      <c r="E2" s="14">
        <f>IF($A2="","",IFERROR(TEXTJOIN(CHAR(10),TRUE,FILTER('Learning Objectives'!$D:$D,'Learning Objectives'!$A:$A="Nursery",'Learning Objectives'!$B:$B=$A2)),""))</f>
        <v/>
      </c>
      <c r="F2" s="12" t="n"/>
      <c r="G2" s="13" t="n"/>
      <c r="H2" s="13" t="n"/>
      <c r="I2" s="12" t="n"/>
      <c r="J2" s="12" t="n"/>
      <c r="K2" s="12" t="n"/>
      <c r="L2" s="13" t="n"/>
      <c r="M2" s="13" t="n"/>
      <c r="N2" s="12" t="n"/>
    </row>
    <row r="3">
      <c r="A3" s="11" t="n"/>
      <c r="B3" s="12" t="n"/>
      <c r="C3" s="13" t="n"/>
      <c r="D3" s="12" t="n"/>
      <c r="E3" s="14">
        <f>IF($A3="","",IFERROR(TEXTJOIN(CHAR(10),TRUE,FILTER('Learning Objectives'!$D:$D,'Learning Objectives'!$A:$A="Nursery",'Learning Objectives'!$B:$B=$A3)),""))</f>
        <v/>
      </c>
      <c r="F3" s="12" t="n"/>
      <c r="G3" s="13" t="n"/>
      <c r="H3" s="13" t="n"/>
      <c r="I3" s="12" t="n"/>
      <c r="J3" s="12" t="n"/>
      <c r="K3" s="12" t="n"/>
      <c r="L3" s="13" t="n"/>
      <c r="M3" s="13" t="n"/>
      <c r="N3" s="12" t="n"/>
    </row>
    <row r="4">
      <c r="A4" s="11" t="n"/>
      <c r="B4" s="12" t="n"/>
      <c r="C4" s="13" t="n"/>
      <c r="D4" s="12" t="n"/>
      <c r="E4" s="14">
        <f>IF($A4="","",IFERROR(TEXTJOIN(CHAR(10),TRUE,FILTER('Learning Objectives'!$D:$D,'Learning Objectives'!$A:$A="Nursery",'Learning Objectives'!$B:$B=$A4)),""))</f>
        <v/>
      </c>
      <c r="F4" s="12" t="n"/>
      <c r="G4" s="13" t="n"/>
      <c r="H4" s="13" t="n"/>
      <c r="I4" s="12" t="n"/>
      <c r="J4" s="12" t="n"/>
      <c r="K4" s="12" t="n"/>
      <c r="L4" s="13" t="n"/>
      <c r="M4" s="13" t="n"/>
      <c r="N4" s="12" t="n"/>
    </row>
    <row r="5">
      <c r="A5" s="11" t="n"/>
      <c r="B5" s="12" t="n"/>
      <c r="C5" s="13" t="n"/>
      <c r="D5" s="12" t="n"/>
      <c r="E5" s="14">
        <f>IF($A5="","",IFERROR(TEXTJOIN(CHAR(10),TRUE,FILTER('Learning Objectives'!$D:$D,'Learning Objectives'!$A:$A="Nursery",'Learning Objectives'!$B:$B=$A5)),""))</f>
        <v/>
      </c>
      <c r="F5" s="12" t="n"/>
      <c r="G5" s="13" t="n"/>
      <c r="H5" s="13" t="n"/>
      <c r="I5" s="12" t="n"/>
      <c r="J5" s="12" t="n"/>
      <c r="K5" s="12" t="n"/>
      <c r="L5" s="13" t="n"/>
      <c r="M5" s="13" t="n"/>
      <c r="N5" s="12" t="n"/>
    </row>
    <row r="6">
      <c r="A6" s="11" t="n"/>
      <c r="B6" s="12" t="n"/>
      <c r="C6" s="13" t="n"/>
      <c r="D6" s="12" t="n"/>
      <c r="E6" s="14">
        <f>IF($A6="","",IFERROR(TEXTJOIN(CHAR(10),TRUE,FILTER('Learning Objectives'!$D:$D,'Learning Objectives'!$A:$A="Nursery",'Learning Objectives'!$B:$B=$A6)),""))</f>
        <v/>
      </c>
      <c r="F6" s="12" t="n"/>
      <c r="G6" s="13" t="n"/>
      <c r="H6" s="13" t="n"/>
      <c r="I6" s="12" t="n"/>
      <c r="J6" s="12" t="n"/>
      <c r="K6" s="12" t="n"/>
      <c r="L6" s="13" t="n"/>
      <c r="M6" s="13" t="n"/>
      <c r="N6" s="12" t="n"/>
    </row>
    <row r="7">
      <c r="A7" s="11" t="n"/>
      <c r="B7" s="12" t="n"/>
      <c r="C7" s="13" t="n"/>
      <c r="D7" s="12" t="n"/>
      <c r="E7" s="14">
        <f>IF($A7="","",IFERROR(TEXTJOIN(CHAR(10),TRUE,FILTER('Learning Objectives'!$D:$D,'Learning Objectives'!$A:$A="Nursery",'Learning Objectives'!$B:$B=$A7)),""))</f>
        <v/>
      </c>
      <c r="F7" s="12" t="n"/>
      <c r="G7" s="13" t="n"/>
      <c r="H7" s="13" t="n"/>
      <c r="I7" s="12" t="n"/>
      <c r="J7" s="12" t="n"/>
      <c r="K7" s="12" t="n"/>
      <c r="L7" s="13" t="n"/>
      <c r="M7" s="13" t="n"/>
      <c r="N7" s="12" t="n"/>
    </row>
    <row r="8">
      <c r="A8" s="11" t="n"/>
      <c r="B8" s="12" t="n"/>
      <c r="C8" s="13" t="n"/>
      <c r="D8" s="12" t="n"/>
      <c r="E8" s="14">
        <f>IF($A8="","",IFERROR(TEXTJOIN(CHAR(10),TRUE,FILTER('Learning Objectives'!$D:$D,'Learning Objectives'!$A:$A="Nursery",'Learning Objectives'!$B:$B=$A8)),""))</f>
        <v/>
      </c>
      <c r="F8" s="12" t="n"/>
      <c r="G8" s="13" t="n"/>
      <c r="H8" s="13" t="n"/>
      <c r="I8" s="12" t="n"/>
      <c r="J8" s="12" t="n"/>
      <c r="K8" s="12" t="n"/>
      <c r="L8" s="13" t="n"/>
      <c r="M8" s="13" t="n"/>
      <c r="N8" s="12" t="n"/>
    </row>
    <row r="9">
      <c r="A9" s="11" t="n"/>
      <c r="B9" s="12" t="n"/>
      <c r="C9" s="13" t="n"/>
      <c r="D9" s="12" t="n"/>
      <c r="E9" s="14">
        <f>IF($A9="","",IFERROR(TEXTJOIN(CHAR(10),TRUE,FILTER('Learning Objectives'!$D:$D,'Learning Objectives'!$A:$A="Nursery",'Learning Objectives'!$B:$B=$A9)),""))</f>
        <v/>
      </c>
      <c r="F9" s="12" t="n"/>
      <c r="G9" s="13" t="n"/>
      <c r="H9" s="13" t="n"/>
      <c r="I9" s="12" t="n"/>
      <c r="J9" s="12" t="n"/>
      <c r="K9" s="12" t="n"/>
      <c r="L9" s="13" t="n"/>
      <c r="M9" s="13" t="n"/>
      <c r="N9" s="12" t="n"/>
    </row>
    <row r="10">
      <c r="A10" s="11" t="n"/>
      <c r="B10" s="12" t="n"/>
      <c r="C10" s="13" t="n"/>
      <c r="D10" s="12" t="n"/>
      <c r="E10" s="14">
        <f>IF($A10="","",IFERROR(TEXTJOIN(CHAR(10),TRUE,FILTER('Learning Objectives'!$D:$D,'Learning Objectives'!$A:$A="Nursery",'Learning Objectives'!$B:$B=$A10)),""))</f>
        <v/>
      </c>
      <c r="F10" s="12" t="n"/>
      <c r="G10" s="13" t="n"/>
      <c r="H10" s="13" t="n"/>
      <c r="I10" s="12" t="n"/>
      <c r="J10" s="12" t="n"/>
      <c r="K10" s="12" t="n"/>
      <c r="L10" s="13" t="n"/>
      <c r="M10" s="13" t="n"/>
      <c r="N10" s="12" t="n"/>
    </row>
    <row r="11">
      <c r="A11" s="11" t="n"/>
      <c r="B11" s="12" t="n"/>
      <c r="C11" s="13" t="n"/>
      <c r="D11" s="12" t="n"/>
      <c r="E11" s="14">
        <f>IF($A11="","",IFERROR(TEXTJOIN(CHAR(10),TRUE,FILTER('Learning Objectives'!$D:$D,'Learning Objectives'!$A:$A="Nursery",'Learning Objectives'!$B:$B=$A11)),""))</f>
        <v/>
      </c>
      <c r="F11" s="12" t="n"/>
      <c r="G11" s="13" t="n"/>
      <c r="H11" s="13" t="n"/>
      <c r="I11" s="12" t="n"/>
      <c r="J11" s="12" t="n"/>
      <c r="K11" s="12" t="n"/>
      <c r="L11" s="13" t="n"/>
      <c r="M11" s="13" t="n"/>
      <c r="N11" s="12" t="n"/>
    </row>
    <row r="12">
      <c r="A12" s="11" t="n"/>
      <c r="B12" s="12" t="n"/>
      <c r="C12" s="13" t="n"/>
      <c r="D12" s="12" t="n"/>
      <c r="E12" s="14">
        <f>IF($A12="","",IFERROR(TEXTJOIN(CHAR(10),TRUE,FILTER('Learning Objectives'!$D:$D,'Learning Objectives'!$A:$A="Nursery",'Learning Objectives'!$B:$B=$A12)),""))</f>
        <v/>
      </c>
      <c r="F12" s="12" t="n"/>
      <c r="G12" s="13" t="n"/>
      <c r="H12" s="13" t="n"/>
      <c r="I12" s="12" t="n"/>
      <c r="J12" s="12" t="n"/>
      <c r="K12" s="12" t="n"/>
      <c r="L12" s="13" t="n"/>
      <c r="M12" s="13" t="n"/>
      <c r="N12" s="12" t="n"/>
    </row>
    <row r="13">
      <c r="A13" s="11" t="n"/>
      <c r="B13" s="12" t="n"/>
      <c r="C13" s="13" t="n"/>
      <c r="D13" s="12" t="n"/>
      <c r="E13" s="14">
        <f>IF($A13="","",IFERROR(TEXTJOIN(CHAR(10),TRUE,FILTER('Learning Objectives'!$D:$D,'Learning Objectives'!$A:$A="Nursery",'Learning Objectives'!$B:$B=$A13)),""))</f>
        <v/>
      </c>
      <c r="F13" s="12" t="n"/>
      <c r="G13" s="13" t="n"/>
      <c r="H13" s="13" t="n"/>
      <c r="I13" s="12" t="n"/>
      <c r="J13" s="12" t="n"/>
      <c r="K13" s="12" t="n"/>
      <c r="L13" s="13" t="n"/>
      <c r="M13" s="13" t="n"/>
      <c r="N13" s="12" t="n"/>
    </row>
    <row r="14">
      <c r="A14" s="11" t="n"/>
      <c r="B14" s="12" t="n"/>
      <c r="C14" s="13" t="n"/>
      <c r="D14" s="12" t="n"/>
      <c r="E14" s="14">
        <f>IF($A14="","",IFERROR(TEXTJOIN(CHAR(10),TRUE,FILTER('Learning Objectives'!$D:$D,'Learning Objectives'!$A:$A="Nursery",'Learning Objectives'!$B:$B=$A14)),""))</f>
        <v/>
      </c>
      <c r="F14" s="12" t="n"/>
      <c r="G14" s="13" t="n"/>
      <c r="H14" s="13" t="n"/>
      <c r="I14" s="12" t="n"/>
      <c r="J14" s="12" t="n"/>
      <c r="K14" s="12" t="n"/>
      <c r="L14" s="13" t="n"/>
      <c r="M14" s="13" t="n"/>
      <c r="N14" s="12" t="n"/>
    </row>
    <row r="15">
      <c r="A15" s="11" t="n"/>
      <c r="B15" s="12" t="n"/>
      <c r="C15" s="13" t="n"/>
      <c r="D15" s="12" t="n"/>
      <c r="E15" s="14">
        <f>IF($A15="","",IFERROR(TEXTJOIN(CHAR(10),TRUE,FILTER('Learning Objectives'!$D:$D,'Learning Objectives'!$A:$A="Nursery",'Learning Objectives'!$B:$B=$A15)),""))</f>
        <v/>
      </c>
      <c r="F15" s="12" t="n"/>
      <c r="G15" s="13" t="n"/>
      <c r="H15" s="13" t="n"/>
      <c r="I15" s="12" t="n"/>
      <c r="J15" s="12" t="n"/>
      <c r="K15" s="12" t="n"/>
      <c r="L15" s="13" t="n"/>
      <c r="M15" s="13" t="n"/>
      <c r="N15" s="12" t="n"/>
    </row>
    <row r="16">
      <c r="A16" s="11" t="n"/>
      <c r="B16" s="12" t="n"/>
      <c r="C16" s="13" t="n"/>
      <c r="D16" s="12" t="n"/>
      <c r="E16" s="14">
        <f>IF($A16="","",IFERROR(TEXTJOIN(CHAR(10),TRUE,FILTER('Learning Objectives'!$D:$D,'Learning Objectives'!$A:$A="Nursery",'Learning Objectives'!$B:$B=$A16)),""))</f>
        <v/>
      </c>
      <c r="F16" s="12" t="n"/>
      <c r="G16" s="13" t="n"/>
      <c r="H16" s="13" t="n"/>
      <c r="I16" s="12" t="n"/>
      <c r="J16" s="12" t="n"/>
      <c r="K16" s="12" t="n"/>
      <c r="L16" s="13" t="n"/>
      <c r="M16" s="13" t="n"/>
      <c r="N16" s="12" t="n"/>
    </row>
    <row r="17">
      <c r="A17" s="11" t="n"/>
      <c r="B17" s="12" t="n"/>
      <c r="C17" s="13" t="n"/>
      <c r="D17" s="12" t="n"/>
      <c r="E17" s="14">
        <f>IF($A17="","",IFERROR(TEXTJOIN(CHAR(10),TRUE,FILTER('Learning Objectives'!$D:$D,'Learning Objectives'!$A:$A="Nursery",'Learning Objectives'!$B:$B=$A17)),""))</f>
        <v/>
      </c>
      <c r="F17" s="12" t="n"/>
      <c r="G17" s="13" t="n"/>
      <c r="H17" s="13" t="n"/>
      <c r="I17" s="12" t="n"/>
      <c r="J17" s="12" t="n"/>
      <c r="K17" s="12" t="n"/>
      <c r="L17" s="13" t="n"/>
      <c r="M17" s="13" t="n"/>
      <c r="N17" s="12" t="n"/>
    </row>
    <row r="18">
      <c r="A18" s="11" t="n"/>
      <c r="B18" s="12" t="n"/>
      <c r="C18" s="13" t="n"/>
      <c r="D18" s="12" t="n"/>
      <c r="E18" s="14">
        <f>IF($A18="","",IFERROR(TEXTJOIN(CHAR(10),TRUE,FILTER('Learning Objectives'!$D:$D,'Learning Objectives'!$A:$A="Nursery",'Learning Objectives'!$B:$B=$A18)),""))</f>
        <v/>
      </c>
      <c r="F18" s="12" t="n"/>
      <c r="G18" s="13" t="n"/>
      <c r="H18" s="13" t="n"/>
      <c r="I18" s="12" t="n"/>
      <c r="J18" s="12" t="n"/>
      <c r="K18" s="12" t="n"/>
      <c r="L18" s="13" t="n"/>
      <c r="M18" s="13" t="n"/>
      <c r="N18" s="12" t="n"/>
    </row>
    <row r="19">
      <c r="A19" s="11" t="n"/>
      <c r="B19" s="12" t="n"/>
      <c r="C19" s="13" t="n"/>
      <c r="D19" s="12" t="n"/>
      <c r="E19" s="14">
        <f>IF($A19="","",IFERROR(TEXTJOIN(CHAR(10),TRUE,FILTER('Learning Objectives'!$D:$D,'Learning Objectives'!$A:$A="Nursery",'Learning Objectives'!$B:$B=$A19)),""))</f>
        <v/>
      </c>
      <c r="F19" s="12" t="n"/>
      <c r="G19" s="13" t="n"/>
      <c r="H19" s="13" t="n"/>
      <c r="I19" s="12" t="n"/>
      <c r="J19" s="12" t="n"/>
      <c r="K19" s="12" t="n"/>
      <c r="L19" s="13" t="n"/>
      <c r="M19" s="13" t="n"/>
      <c r="N19" s="12" t="n"/>
    </row>
    <row r="20">
      <c r="A20" s="11" t="n"/>
      <c r="B20" s="12" t="n"/>
      <c r="C20" s="13" t="n"/>
      <c r="D20" s="12" t="n"/>
      <c r="E20" s="14">
        <f>IF($A20="","",IFERROR(TEXTJOIN(CHAR(10),TRUE,FILTER('Learning Objectives'!$D:$D,'Learning Objectives'!$A:$A="Nursery",'Learning Objectives'!$B:$B=$A20)),""))</f>
        <v/>
      </c>
      <c r="F20" s="12" t="n"/>
      <c r="G20" s="13" t="n"/>
      <c r="H20" s="13" t="n"/>
      <c r="I20" s="12" t="n"/>
      <c r="J20" s="12" t="n"/>
      <c r="K20" s="12" t="n"/>
      <c r="L20" s="13" t="n"/>
      <c r="M20" s="13" t="n"/>
      <c r="N20" s="12" t="n"/>
    </row>
    <row r="21">
      <c r="A21" s="11" t="n"/>
      <c r="B21" s="12" t="n"/>
      <c r="C21" s="13" t="n"/>
      <c r="D21" s="12" t="n"/>
      <c r="E21" s="14">
        <f>IF($A21="","",IFERROR(TEXTJOIN(CHAR(10),TRUE,FILTER('Learning Objectives'!$D:$D,'Learning Objectives'!$A:$A="Nursery",'Learning Objectives'!$B:$B=$A21)),""))</f>
        <v/>
      </c>
      <c r="F21" s="12" t="n"/>
      <c r="G21" s="13" t="n"/>
      <c r="H21" s="13" t="n"/>
      <c r="I21" s="12" t="n"/>
      <c r="J21" s="12" t="n"/>
      <c r="K21" s="12" t="n"/>
      <c r="L21" s="13" t="n"/>
      <c r="M21" s="13" t="n"/>
      <c r="N21" s="12" t="n"/>
    </row>
    <row r="22">
      <c r="A22" s="11" t="n"/>
      <c r="B22" s="12" t="n"/>
      <c r="C22" s="13" t="n"/>
      <c r="D22" s="12" t="n"/>
      <c r="E22" s="14">
        <f>IF($A22="","",IFERROR(TEXTJOIN(CHAR(10),TRUE,FILTER('Learning Objectives'!$D:$D,'Learning Objectives'!$A:$A="Nursery",'Learning Objectives'!$B:$B=$A22)),""))</f>
        <v/>
      </c>
      <c r="F22" s="12" t="n"/>
      <c r="G22" s="13" t="n"/>
      <c r="H22" s="13" t="n"/>
      <c r="I22" s="12" t="n"/>
      <c r="J22" s="12" t="n"/>
      <c r="K22" s="12" t="n"/>
      <c r="L22" s="13" t="n"/>
      <c r="M22" s="13" t="n"/>
      <c r="N22" s="12" t="n"/>
    </row>
    <row r="23">
      <c r="A23" s="11" t="n"/>
      <c r="B23" s="12" t="n"/>
      <c r="C23" s="13" t="n"/>
      <c r="D23" s="12" t="n"/>
      <c r="E23" s="14">
        <f>IF($A23="","",IFERROR(TEXTJOIN(CHAR(10),TRUE,FILTER('Learning Objectives'!$D:$D,'Learning Objectives'!$A:$A="Nursery",'Learning Objectives'!$B:$B=$A23)),""))</f>
        <v/>
      </c>
      <c r="F23" s="12" t="n"/>
      <c r="G23" s="13" t="n"/>
      <c r="H23" s="13" t="n"/>
      <c r="I23" s="12" t="n"/>
      <c r="J23" s="12" t="n"/>
      <c r="K23" s="12" t="n"/>
      <c r="L23" s="13" t="n"/>
      <c r="M23" s="13" t="n"/>
      <c r="N23" s="12" t="n"/>
    </row>
    <row r="24">
      <c r="A24" s="11" t="n"/>
      <c r="B24" s="12" t="n"/>
      <c r="C24" s="13" t="n"/>
      <c r="D24" s="12" t="n"/>
      <c r="E24" s="14">
        <f>IF($A24="","",IFERROR(TEXTJOIN(CHAR(10),TRUE,FILTER('Learning Objectives'!$D:$D,'Learning Objectives'!$A:$A="Nursery",'Learning Objectives'!$B:$B=$A24)),""))</f>
        <v/>
      </c>
      <c r="F24" s="12" t="n"/>
      <c r="G24" s="13" t="n"/>
      <c r="H24" s="13" t="n"/>
      <c r="I24" s="12" t="n"/>
      <c r="J24" s="12" t="n"/>
      <c r="K24" s="12" t="n"/>
      <c r="L24" s="13" t="n"/>
      <c r="M24" s="13" t="n"/>
      <c r="N24" s="12" t="n"/>
    </row>
    <row r="25">
      <c r="A25" s="11" t="n"/>
      <c r="B25" s="12" t="n"/>
      <c r="C25" s="13" t="n"/>
      <c r="D25" s="12" t="n"/>
      <c r="E25" s="14">
        <f>IF($A25="","",IFERROR(TEXTJOIN(CHAR(10),TRUE,FILTER('Learning Objectives'!$D:$D,'Learning Objectives'!$A:$A="Nursery",'Learning Objectives'!$B:$B=$A25)),""))</f>
        <v/>
      </c>
      <c r="F25" s="12" t="n"/>
      <c r="G25" s="13" t="n"/>
      <c r="H25" s="13" t="n"/>
      <c r="I25" s="12" t="n"/>
      <c r="J25" s="12" t="n"/>
      <c r="K25" s="12" t="n"/>
      <c r="L25" s="13" t="n"/>
      <c r="M25" s="13" t="n"/>
      <c r="N25" s="12" t="n"/>
    </row>
    <row r="26">
      <c r="A26" s="11" t="n"/>
      <c r="B26" s="12" t="n"/>
      <c r="C26" s="13" t="n"/>
      <c r="D26" s="12" t="n"/>
      <c r="E26" s="14">
        <f>IF($A26="","",IFERROR(TEXTJOIN(CHAR(10),TRUE,FILTER('Learning Objectives'!$D:$D,'Learning Objectives'!$A:$A="Nursery",'Learning Objectives'!$B:$B=$A26)),""))</f>
        <v/>
      </c>
      <c r="F26" s="12" t="n"/>
      <c r="G26" s="13" t="n"/>
      <c r="H26" s="13" t="n"/>
      <c r="I26" s="12" t="n"/>
      <c r="J26" s="12" t="n"/>
      <c r="K26" s="12" t="n"/>
      <c r="L26" s="13" t="n"/>
      <c r="M26" s="13" t="n"/>
      <c r="N26" s="12" t="n"/>
    </row>
    <row r="27">
      <c r="A27" s="11" t="n"/>
      <c r="B27" s="12" t="n"/>
      <c r="C27" s="13" t="n"/>
      <c r="D27" s="12" t="n"/>
      <c r="E27" s="14">
        <f>IF($A27="","",IFERROR(TEXTJOIN(CHAR(10),TRUE,FILTER('Learning Objectives'!$D:$D,'Learning Objectives'!$A:$A="Nursery",'Learning Objectives'!$B:$B=$A27)),""))</f>
        <v/>
      </c>
      <c r="F27" s="12" t="n"/>
      <c r="G27" s="13" t="n"/>
      <c r="H27" s="13" t="n"/>
      <c r="I27" s="12" t="n"/>
      <c r="J27" s="12" t="n"/>
      <c r="K27" s="12" t="n"/>
      <c r="L27" s="13" t="n"/>
      <c r="M27" s="13" t="n"/>
      <c r="N27" s="12" t="n"/>
    </row>
    <row r="28">
      <c r="A28" s="11" t="n"/>
      <c r="B28" s="12" t="n"/>
      <c r="C28" s="13" t="n"/>
      <c r="D28" s="12" t="n"/>
      <c r="E28" s="14">
        <f>IF($A28="","",IFERROR(TEXTJOIN(CHAR(10),TRUE,FILTER('Learning Objectives'!$D:$D,'Learning Objectives'!$A:$A="Nursery",'Learning Objectives'!$B:$B=$A28)),""))</f>
        <v/>
      </c>
      <c r="F28" s="12" t="n"/>
      <c r="G28" s="13" t="n"/>
      <c r="H28" s="13" t="n"/>
      <c r="I28" s="12" t="n"/>
      <c r="J28" s="12" t="n"/>
      <c r="K28" s="12" t="n"/>
      <c r="L28" s="13" t="n"/>
      <c r="M28" s="13" t="n"/>
      <c r="N28" s="12" t="n"/>
    </row>
    <row r="29">
      <c r="A29" s="11" t="n"/>
      <c r="B29" s="12" t="n"/>
      <c r="C29" s="13" t="n"/>
      <c r="D29" s="12" t="n"/>
      <c r="E29" s="14">
        <f>IF($A29="","",IFERROR(TEXTJOIN(CHAR(10),TRUE,FILTER('Learning Objectives'!$D:$D,'Learning Objectives'!$A:$A="Nursery",'Learning Objectives'!$B:$B=$A29)),""))</f>
        <v/>
      </c>
      <c r="F29" s="12" t="n"/>
      <c r="G29" s="13" t="n"/>
      <c r="H29" s="13" t="n"/>
      <c r="I29" s="12" t="n"/>
      <c r="J29" s="12" t="n"/>
      <c r="K29" s="12" t="n"/>
      <c r="L29" s="13" t="n"/>
      <c r="M29" s="13" t="n"/>
      <c r="N29" s="12" t="n"/>
    </row>
    <row r="30">
      <c r="A30" s="11" t="n"/>
      <c r="B30" s="12" t="n"/>
      <c r="C30" s="13" t="n"/>
      <c r="D30" s="12" t="n"/>
      <c r="E30" s="14">
        <f>IF($A30="","",IFERROR(TEXTJOIN(CHAR(10),TRUE,FILTER('Learning Objectives'!$D:$D,'Learning Objectives'!$A:$A="Nursery",'Learning Objectives'!$B:$B=$A30)),""))</f>
        <v/>
      </c>
      <c r="F30" s="12" t="n"/>
      <c r="G30" s="13" t="n"/>
      <c r="H30" s="13" t="n"/>
      <c r="I30" s="12" t="n"/>
      <c r="J30" s="12" t="n"/>
      <c r="K30" s="12" t="n"/>
      <c r="L30" s="13" t="n"/>
      <c r="M30" s="13" t="n"/>
      <c r="N30" s="12" t="n"/>
    </row>
    <row r="31">
      <c r="A31" s="11" t="n"/>
      <c r="B31" s="12" t="n"/>
      <c r="C31" s="13" t="n"/>
      <c r="D31" s="12" t="n"/>
      <c r="E31" s="14">
        <f>IF($A31="","",IFERROR(TEXTJOIN(CHAR(10),TRUE,FILTER('Learning Objectives'!$D:$D,'Learning Objectives'!$A:$A="Nursery",'Learning Objectives'!$B:$B=$A31)),""))</f>
        <v/>
      </c>
      <c r="F31" s="12" t="n"/>
      <c r="G31" s="13" t="n"/>
      <c r="H31" s="13" t="n"/>
      <c r="I31" s="12" t="n"/>
      <c r="J31" s="12" t="n"/>
      <c r="K31" s="12" t="n"/>
      <c r="L31" s="13" t="n"/>
      <c r="M31" s="13" t="n"/>
      <c r="N31" s="12" t="n"/>
    </row>
    <row r="32">
      <c r="A32" s="11" t="n"/>
      <c r="B32" s="12" t="n"/>
      <c r="C32" s="13" t="n"/>
      <c r="D32" s="12" t="n"/>
      <c r="E32" s="14">
        <f>IF($A32="","",IFERROR(TEXTJOIN(CHAR(10),TRUE,FILTER('Learning Objectives'!$D:$D,'Learning Objectives'!$A:$A="Nursery",'Learning Objectives'!$B:$B=$A32)),""))</f>
        <v/>
      </c>
      <c r="F32" s="12" t="n"/>
      <c r="G32" s="13" t="n"/>
      <c r="H32" s="13" t="n"/>
      <c r="I32" s="12" t="n"/>
      <c r="J32" s="12" t="n"/>
      <c r="K32" s="12" t="n"/>
      <c r="L32" s="13" t="n"/>
      <c r="M32" s="13" t="n"/>
      <c r="N32" s="12" t="n"/>
    </row>
    <row r="33">
      <c r="A33" s="11" t="n"/>
      <c r="B33" s="12" t="n"/>
      <c r="C33" s="13" t="n"/>
      <c r="D33" s="12" t="n"/>
      <c r="E33" s="14">
        <f>IF($A33="","",IFERROR(TEXTJOIN(CHAR(10),TRUE,FILTER('Learning Objectives'!$D:$D,'Learning Objectives'!$A:$A="Nursery",'Learning Objectives'!$B:$B=$A33)),""))</f>
        <v/>
      </c>
      <c r="F33" s="12" t="n"/>
      <c r="G33" s="13" t="n"/>
      <c r="H33" s="13" t="n"/>
      <c r="I33" s="12" t="n"/>
      <c r="J33" s="12" t="n"/>
      <c r="K33" s="12" t="n"/>
      <c r="L33" s="13" t="n"/>
      <c r="M33" s="13" t="n"/>
      <c r="N33" s="12" t="n"/>
    </row>
    <row r="34">
      <c r="A34" s="11" t="n"/>
      <c r="B34" s="12" t="n"/>
      <c r="C34" s="13" t="n"/>
      <c r="D34" s="12" t="n"/>
      <c r="E34" s="14">
        <f>IF($A34="","",IFERROR(TEXTJOIN(CHAR(10),TRUE,FILTER('Learning Objectives'!$D:$D,'Learning Objectives'!$A:$A="Nursery",'Learning Objectives'!$B:$B=$A34)),""))</f>
        <v/>
      </c>
      <c r="F34" s="12" t="n"/>
      <c r="G34" s="13" t="n"/>
      <c r="H34" s="13" t="n"/>
      <c r="I34" s="12" t="n"/>
      <c r="J34" s="12" t="n"/>
      <c r="K34" s="12" t="n"/>
      <c r="L34" s="13" t="n"/>
      <c r="M34" s="13" t="n"/>
      <c r="N34" s="12" t="n"/>
    </row>
    <row r="35">
      <c r="A35" s="11" t="n"/>
      <c r="B35" s="12" t="n"/>
      <c r="C35" s="13" t="n"/>
      <c r="D35" s="12" t="n"/>
      <c r="E35" s="14">
        <f>IF($A35="","",IFERROR(TEXTJOIN(CHAR(10),TRUE,FILTER('Learning Objectives'!$D:$D,'Learning Objectives'!$A:$A="Nursery",'Learning Objectives'!$B:$B=$A35)),""))</f>
        <v/>
      </c>
      <c r="F35" s="12" t="n"/>
      <c r="G35" s="13" t="n"/>
      <c r="H35" s="13" t="n"/>
      <c r="I35" s="12" t="n"/>
      <c r="J35" s="12" t="n"/>
      <c r="K35" s="12" t="n"/>
      <c r="L35" s="13" t="n"/>
      <c r="M35" s="13" t="n"/>
      <c r="N35" s="12" t="n"/>
    </row>
    <row r="36">
      <c r="A36" s="11" t="n"/>
      <c r="B36" s="12" t="n"/>
      <c r="C36" s="13" t="n"/>
      <c r="D36" s="12" t="n"/>
      <c r="E36" s="14">
        <f>IF($A36="","",IFERROR(TEXTJOIN(CHAR(10),TRUE,FILTER('Learning Objectives'!$D:$D,'Learning Objectives'!$A:$A="Nursery",'Learning Objectives'!$B:$B=$A36)),""))</f>
        <v/>
      </c>
      <c r="F36" s="12" t="n"/>
      <c r="G36" s="13" t="n"/>
      <c r="H36" s="13" t="n"/>
      <c r="I36" s="12" t="n"/>
      <c r="J36" s="12" t="n"/>
      <c r="K36" s="12" t="n"/>
      <c r="L36" s="13" t="n"/>
      <c r="M36" s="13" t="n"/>
      <c r="N36" s="12" t="n"/>
    </row>
    <row r="37">
      <c r="A37" s="11" t="n"/>
      <c r="B37" s="12" t="n"/>
      <c r="C37" s="13" t="n"/>
      <c r="D37" s="12" t="n"/>
      <c r="E37" s="14">
        <f>IF($A37="","",IFERROR(TEXTJOIN(CHAR(10),TRUE,FILTER('Learning Objectives'!$D:$D,'Learning Objectives'!$A:$A="Nursery",'Learning Objectives'!$B:$B=$A37)),""))</f>
        <v/>
      </c>
      <c r="F37" s="12" t="n"/>
      <c r="G37" s="13" t="n"/>
      <c r="H37" s="13" t="n"/>
      <c r="I37" s="12" t="n"/>
      <c r="J37" s="12" t="n"/>
      <c r="K37" s="12" t="n"/>
      <c r="L37" s="13" t="n"/>
      <c r="M37" s="13" t="n"/>
      <c r="N37" s="12" t="n"/>
    </row>
    <row r="38">
      <c r="A38" s="11" t="n"/>
      <c r="B38" s="12" t="n"/>
      <c r="C38" s="13" t="n"/>
      <c r="D38" s="12" t="n"/>
      <c r="E38" s="14">
        <f>IF($A38="","",IFERROR(TEXTJOIN(CHAR(10),TRUE,FILTER('Learning Objectives'!$D:$D,'Learning Objectives'!$A:$A="Nursery",'Learning Objectives'!$B:$B=$A38)),""))</f>
        <v/>
      </c>
      <c r="F38" s="12" t="n"/>
      <c r="G38" s="13" t="n"/>
      <c r="H38" s="13" t="n"/>
      <c r="I38" s="12" t="n"/>
      <c r="J38" s="12" t="n"/>
      <c r="K38" s="12" t="n"/>
      <c r="L38" s="13" t="n"/>
      <c r="M38" s="13" t="n"/>
      <c r="N38" s="12" t="n"/>
    </row>
    <row r="39">
      <c r="A39" s="11" t="n"/>
      <c r="B39" s="12" t="n"/>
      <c r="C39" s="13" t="n"/>
      <c r="D39" s="12" t="n"/>
      <c r="E39" s="14">
        <f>IF($A39="","",IFERROR(TEXTJOIN(CHAR(10),TRUE,FILTER('Learning Objectives'!$D:$D,'Learning Objectives'!$A:$A="Nursery",'Learning Objectives'!$B:$B=$A39)),""))</f>
        <v/>
      </c>
      <c r="F39" s="12" t="n"/>
      <c r="G39" s="13" t="n"/>
      <c r="H39" s="13" t="n"/>
      <c r="I39" s="12" t="n"/>
      <c r="J39" s="12" t="n"/>
      <c r="K39" s="12" t="n"/>
      <c r="L39" s="13" t="n"/>
      <c r="M39" s="13" t="n"/>
      <c r="N39" s="12" t="n"/>
    </row>
    <row r="40">
      <c r="A40" s="11" t="n"/>
      <c r="B40" s="12" t="n"/>
      <c r="C40" s="13" t="n"/>
      <c r="D40" s="12" t="n"/>
      <c r="E40" s="14">
        <f>IF($A40="","",IFERROR(TEXTJOIN(CHAR(10),TRUE,FILTER('Learning Objectives'!$D:$D,'Learning Objectives'!$A:$A="Nursery",'Learning Objectives'!$B:$B=$A40)),""))</f>
        <v/>
      </c>
      <c r="F40" s="12" t="n"/>
      <c r="G40" s="13" t="n"/>
      <c r="H40" s="13" t="n"/>
      <c r="I40" s="12" t="n"/>
      <c r="J40" s="12" t="n"/>
      <c r="K40" s="12" t="n"/>
      <c r="L40" s="13" t="n"/>
      <c r="M40" s="13" t="n"/>
      <c r="N40" s="12" t="n"/>
    </row>
    <row r="41">
      <c r="A41" s="11" t="n"/>
      <c r="B41" s="12" t="n"/>
      <c r="C41" s="13" t="n"/>
      <c r="D41" s="12" t="n"/>
      <c r="E41" s="14">
        <f>IF($A41="","",IFERROR(TEXTJOIN(CHAR(10),TRUE,FILTER('Learning Objectives'!$D:$D,'Learning Objectives'!$A:$A="Nursery",'Learning Objectives'!$B:$B=$A41)),""))</f>
        <v/>
      </c>
      <c r="F41" s="12" t="n"/>
      <c r="G41" s="13" t="n"/>
      <c r="H41" s="13" t="n"/>
      <c r="I41" s="12" t="n"/>
      <c r="J41" s="12" t="n"/>
      <c r="K41" s="12" t="n"/>
      <c r="L41" s="13" t="n"/>
      <c r="M41" s="13" t="n"/>
      <c r="N41" s="12" t="n"/>
    </row>
    <row r="42">
      <c r="A42" s="11" t="n"/>
      <c r="B42" s="12" t="n"/>
      <c r="C42" s="13" t="n"/>
      <c r="D42" s="12" t="n"/>
      <c r="E42" s="14">
        <f>IF($A42="","",IFERROR(TEXTJOIN(CHAR(10),TRUE,FILTER('Learning Objectives'!$D:$D,'Learning Objectives'!$A:$A="Nursery",'Learning Objectives'!$B:$B=$A42)),""))</f>
        <v/>
      </c>
      <c r="F42" s="12" t="n"/>
      <c r="G42" s="13" t="n"/>
      <c r="H42" s="13" t="n"/>
      <c r="I42" s="12" t="n"/>
      <c r="J42" s="12" t="n"/>
      <c r="K42" s="12" t="n"/>
      <c r="L42" s="13" t="n"/>
      <c r="M42" s="13" t="n"/>
      <c r="N42" s="12" t="n"/>
    </row>
    <row r="43">
      <c r="A43" s="11" t="n"/>
      <c r="B43" s="12" t="n"/>
      <c r="C43" s="13" t="n"/>
      <c r="D43" s="12" t="n"/>
      <c r="E43" s="14">
        <f>IF($A43="","",IFERROR(TEXTJOIN(CHAR(10),TRUE,FILTER('Learning Objectives'!$D:$D,'Learning Objectives'!$A:$A="Nursery",'Learning Objectives'!$B:$B=$A43)),""))</f>
        <v/>
      </c>
      <c r="F43" s="12" t="n"/>
      <c r="G43" s="13" t="n"/>
      <c r="H43" s="13" t="n"/>
      <c r="I43" s="12" t="n"/>
      <c r="J43" s="12" t="n"/>
      <c r="K43" s="12" t="n"/>
      <c r="L43" s="13" t="n"/>
      <c r="M43" s="13" t="n"/>
      <c r="N43" s="12" t="n"/>
    </row>
    <row r="44">
      <c r="A44" s="11" t="n"/>
      <c r="B44" s="12" t="n"/>
      <c r="C44" s="13" t="n"/>
      <c r="D44" s="12" t="n"/>
      <c r="E44" s="14">
        <f>IF($A44="","",IFERROR(TEXTJOIN(CHAR(10),TRUE,FILTER('Learning Objectives'!$D:$D,'Learning Objectives'!$A:$A="Nursery",'Learning Objectives'!$B:$B=$A44)),""))</f>
        <v/>
      </c>
      <c r="F44" s="12" t="n"/>
      <c r="G44" s="13" t="n"/>
      <c r="H44" s="13" t="n"/>
      <c r="I44" s="12" t="n"/>
      <c r="J44" s="12" t="n"/>
      <c r="K44" s="12" t="n"/>
      <c r="L44" s="13" t="n"/>
      <c r="M44" s="13" t="n"/>
      <c r="N44" s="12" t="n"/>
    </row>
    <row r="45">
      <c r="A45" s="11" t="n"/>
      <c r="B45" s="12" t="n"/>
      <c r="C45" s="13" t="n"/>
      <c r="D45" s="12" t="n"/>
      <c r="E45" s="14">
        <f>IF($A45="","",IFERROR(TEXTJOIN(CHAR(10),TRUE,FILTER('Learning Objectives'!$D:$D,'Learning Objectives'!$A:$A="Nursery",'Learning Objectives'!$B:$B=$A45)),""))</f>
        <v/>
      </c>
      <c r="F45" s="12" t="n"/>
      <c r="G45" s="13" t="n"/>
      <c r="H45" s="13" t="n"/>
      <c r="I45" s="12" t="n"/>
      <c r="J45" s="12" t="n"/>
      <c r="K45" s="12" t="n"/>
      <c r="L45" s="13" t="n"/>
      <c r="M45" s="13" t="n"/>
      <c r="N45" s="12" t="n"/>
    </row>
    <row r="46">
      <c r="A46" s="11" t="n"/>
      <c r="B46" s="12" t="n"/>
      <c r="C46" s="13" t="n"/>
      <c r="D46" s="12" t="n"/>
      <c r="E46" s="14">
        <f>IF($A46="","",IFERROR(TEXTJOIN(CHAR(10),TRUE,FILTER('Learning Objectives'!$D:$D,'Learning Objectives'!$A:$A="Nursery",'Learning Objectives'!$B:$B=$A46)),""))</f>
        <v/>
      </c>
      <c r="F46" s="12" t="n"/>
      <c r="G46" s="13" t="n"/>
      <c r="H46" s="13" t="n"/>
      <c r="I46" s="12" t="n"/>
      <c r="J46" s="12" t="n"/>
      <c r="K46" s="12" t="n"/>
      <c r="L46" s="13" t="n"/>
      <c r="M46" s="13" t="n"/>
      <c r="N46" s="12" t="n"/>
    </row>
    <row r="47">
      <c r="A47" s="11" t="n"/>
      <c r="B47" s="12" t="n"/>
      <c r="C47" s="13" t="n"/>
      <c r="D47" s="12" t="n"/>
      <c r="E47" s="14">
        <f>IF($A47="","",IFERROR(TEXTJOIN(CHAR(10),TRUE,FILTER('Learning Objectives'!$D:$D,'Learning Objectives'!$A:$A="Nursery",'Learning Objectives'!$B:$B=$A47)),""))</f>
        <v/>
      </c>
      <c r="F47" s="12" t="n"/>
      <c r="G47" s="13" t="n"/>
      <c r="H47" s="13" t="n"/>
      <c r="I47" s="12" t="n"/>
      <c r="J47" s="12" t="n"/>
      <c r="K47" s="12" t="n"/>
      <c r="L47" s="13" t="n"/>
      <c r="M47" s="13" t="n"/>
      <c r="N47" s="12" t="n"/>
    </row>
    <row r="48">
      <c r="A48" s="11" t="n"/>
      <c r="B48" s="12" t="n"/>
      <c r="C48" s="13" t="n"/>
      <c r="D48" s="12" t="n"/>
      <c r="E48" s="14">
        <f>IF($A48="","",IFERROR(TEXTJOIN(CHAR(10),TRUE,FILTER('Learning Objectives'!$D:$D,'Learning Objectives'!$A:$A="Nursery",'Learning Objectives'!$B:$B=$A48)),""))</f>
        <v/>
      </c>
      <c r="F48" s="12" t="n"/>
      <c r="G48" s="13" t="n"/>
      <c r="H48" s="13" t="n"/>
      <c r="I48" s="12" t="n"/>
      <c r="J48" s="12" t="n"/>
      <c r="K48" s="12" t="n"/>
      <c r="L48" s="13" t="n"/>
      <c r="M48" s="13" t="n"/>
      <c r="N48" s="12" t="n"/>
    </row>
    <row r="49">
      <c r="A49" s="11" t="n"/>
      <c r="B49" s="12" t="n"/>
      <c r="C49" s="13" t="n"/>
      <c r="D49" s="12" t="n"/>
      <c r="E49" s="14">
        <f>IF($A49="","",IFERROR(TEXTJOIN(CHAR(10),TRUE,FILTER('Learning Objectives'!$D:$D,'Learning Objectives'!$A:$A="Nursery",'Learning Objectives'!$B:$B=$A49)),""))</f>
        <v/>
      </c>
      <c r="F49" s="12" t="n"/>
      <c r="G49" s="13" t="n"/>
      <c r="H49" s="13" t="n"/>
      <c r="I49" s="12" t="n"/>
      <c r="J49" s="12" t="n"/>
      <c r="K49" s="12" t="n"/>
      <c r="L49" s="13" t="n"/>
      <c r="M49" s="13" t="n"/>
      <c r="N49" s="12" t="n"/>
    </row>
    <row r="50">
      <c r="A50" s="11" t="n"/>
      <c r="B50" s="12" t="n"/>
      <c r="C50" s="13" t="n"/>
      <c r="D50" s="12" t="n"/>
      <c r="E50" s="14">
        <f>IF($A50="","",IFERROR(TEXTJOIN(CHAR(10),TRUE,FILTER('Learning Objectives'!$D:$D,'Learning Objectives'!$A:$A="Nursery",'Learning Objectives'!$B:$B=$A50)),""))</f>
        <v/>
      </c>
      <c r="F50" s="12" t="n"/>
      <c r="G50" s="13" t="n"/>
      <c r="H50" s="13" t="n"/>
      <c r="I50" s="12" t="n"/>
      <c r="J50" s="12" t="n"/>
      <c r="K50" s="12" t="n"/>
      <c r="L50" s="13" t="n"/>
      <c r="M50" s="13" t="n"/>
      <c r="N50" s="12" t="n"/>
    </row>
    <row r="51">
      <c r="A51" s="11" t="n"/>
      <c r="B51" s="12" t="n"/>
      <c r="C51" s="13" t="n"/>
      <c r="D51" s="12" t="n"/>
      <c r="E51" s="14">
        <f>IF($A51="","",IFERROR(TEXTJOIN(CHAR(10),TRUE,FILTER('Learning Objectives'!$D:$D,'Learning Objectives'!$A:$A="Nursery",'Learning Objectives'!$B:$B=$A51)),""))</f>
        <v/>
      </c>
      <c r="F51" s="12" t="n"/>
      <c r="G51" s="13" t="n"/>
      <c r="H51" s="13" t="n"/>
      <c r="I51" s="12" t="n"/>
      <c r="J51" s="12" t="n"/>
      <c r="K51" s="12" t="n"/>
      <c r="L51" s="13" t="n"/>
      <c r="M51" s="13" t="n"/>
      <c r="N51" s="12" t="n"/>
    </row>
  </sheetData>
  <autoFilter ref="A1:N1"/>
  <dataValidations count="2">
    <dataValidation sqref="K2:K51" showDropDown="0" showInputMessage="0" showErrorMessage="0" allowBlank="1" error="Pick one of the listed values." type="list">
      <formula1>"Pick the right one,Match things together,Put things in order,Explore and find"</formula1>
    </dataValidation>
    <dataValidation sqref="M2:M51" showDropDown="0" showInputMessage="0" showErrorMessage="1" allowBlank="1" error="Pick one of the listed values." type="list">
      <formula1>"Draft,Ready for Review,Published"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18" customWidth="1" min="3" max="3"/>
    <col width="62" customWidth="1" min="4" max="4"/>
    <col width="42" customWidth="1" min="5" max="5"/>
    <col width="38" customWidth="1" min="6" max="6"/>
    <col width="20" customWidth="1" min="7" max="7"/>
    <col width="26" customWidth="1" min="8" max="8"/>
    <col width="38" customWidth="1" min="9" max="9"/>
    <col width="38" customWidth="1" min="10" max="10"/>
    <col width="30" customWidth="1" min="11" max="11"/>
    <col width="18" customWidth="1" min="12" max="12"/>
    <col width="18" customWidth="1" min="13" max="13"/>
    <col width="40" customWidth="1" min="14" max="14"/>
  </cols>
  <sheetData>
    <row r="1" ht="42" customHeight="1">
      <c r="A1" s="10" t="inlineStr">
        <is>
          <t>Chapter</t>
        </is>
      </c>
      <c r="B1" s="10" t="inlineStr">
        <is>
          <t>Title</t>
        </is>
      </c>
      <c r="C1" s="10" t="inlineStr">
        <is>
          <t>Bible Reference</t>
        </is>
      </c>
      <c r="D1" s="10" t="inlineStr">
        <is>
          <t>Curriculum</t>
        </is>
      </c>
      <c r="E1" s="10" t="inlineStr">
        <is>
          <t>Learning Objectives</t>
        </is>
      </c>
      <c r="F1" s="10" t="inlineStr">
        <is>
          <t>Memory Verse</t>
        </is>
      </c>
      <c r="G1" s="10" t="inlineStr">
        <is>
          <t>Memory Verse Reference</t>
        </is>
      </c>
      <c r="H1" s="10" t="inlineStr">
        <is>
          <t>Video</t>
        </is>
      </c>
      <c r="I1" s="10" t="inlineStr">
        <is>
          <t>Take Home</t>
        </is>
      </c>
      <c r="J1" s="10" t="inlineStr">
        <is>
          <t>Teaching Notes</t>
        </is>
      </c>
      <c r="K1" s="10" t="inlineStr">
        <is>
          <t>Game Suggestion</t>
        </is>
      </c>
      <c r="L1" s="10" t="inlineStr">
        <is>
          <t>Contributor</t>
        </is>
      </c>
      <c r="M1" s="10" t="inlineStr">
        <is>
          <t>Status</t>
        </is>
      </c>
      <c r="N1" s="10" t="inlineStr">
        <is>
          <t>Notes</t>
        </is>
      </c>
    </row>
    <row r="2" ht="220" customHeight="1">
      <c r="A2" s="15" t="n">
        <v>1</v>
      </c>
      <c r="B2" s="16" t="inlineStr">
        <is>
          <t>Baby Jesus at the Temple</t>
        </is>
      </c>
      <c r="C2" s="17" t="inlineStr">
        <is>
          <t>Luke 2:22–35</t>
        </is>
      </c>
      <c r="D2" s="16" t="inlineStr"/>
      <c r="E2" s="18">
        <f>IF($A2="","",IFERROR(TEXTJOIN(CHAR(10),TRUE,FILTER('Learning Objectives'!$D:$D,'Learning Objectives'!$A:$A="Beginner",'Learning Objectives'!$B:$B=$A2)),""))</f>
        <v/>
      </c>
      <c r="F2" s="16" t="inlineStr">
        <is>
          <t>For my eyes have seen your salvation, which you have prepared in the presence of all peoples</t>
        </is>
      </c>
      <c r="G2" s="17" t="inlineStr">
        <is>
          <t>St Luke 2:30,31</t>
        </is>
      </c>
      <c r="H2" s="17" t="inlineStr"/>
      <c r="I2" s="16" t="inlineStr"/>
      <c r="J2" s="16" t="inlineStr"/>
      <c r="K2" s="16" t="inlineStr"/>
      <c r="L2" s="17" t="inlineStr"/>
      <c r="M2" s="17" t="inlineStr">
        <is>
          <t>Published</t>
        </is>
      </c>
      <c r="N2" s="16" t="inlineStr">
        <is>
          <t>Imported from the app rather than written by a contributor. These two chapters were built before this sheet existed and no curriculum was ever written for them — that is the gap this sheet closes. The class is Beginner and is settled.
Content-owner confirmation needed: source lesson references Luke 2:22–33, while current repository content references Luke 2:22–38 and includes Anna. The repository value is kept until this is settled. This is not a typo to tidy — the two readings tell slightly different stories, and the chapter currently has two pictures of Anna.
Imported from the app (content/baby-jesus-at-the-temple.story.json). No curriculum was ever written for it — the children's text was written directly, which is the gap this sheet exists to close.
Already agreed about the pictures:
• Cover — Mary holding baby Jesus, Joseph beside her, old Simeon reaching out with both hands and a huge smile. Warm temple light, tall stone columns behind. The title is painted into the artwork itself.
• "Simeon held the baby" is the heart of the chapter. Give it the most space — old hands, small baby, light from above.
• The chapter ends on gladness being passed on, not on the ceremony finishing.
• Celebration — warm light, the temple steps, the family walking home together.
• The memory verse is Simeon's own words, and short enough for a six-year-old to carry.</t>
        </is>
      </c>
    </row>
    <row r="3" ht="220" customHeight="1">
      <c r="A3" s="15" t="n">
        <v>2</v>
      </c>
      <c r="B3" s="16" t="inlineStr">
        <is>
          <t>Wedding at Cana</t>
        </is>
      </c>
      <c r="C3" s="17" t="inlineStr">
        <is>
          <t>John 2:1–11</t>
        </is>
      </c>
      <c r="D3" s="16" t="inlineStr"/>
      <c r="E3" s="18">
        <f>IF($A3="","",IFERROR(TEXTJOIN(CHAR(10),TRUE,FILTER('Learning Objectives'!$D:$D,'Learning Objectives'!$A:$A="Beginner",'Learning Objectives'!$B:$B=$A3)),""))</f>
        <v/>
      </c>
      <c r="F3" s="16" t="inlineStr">
        <is>
          <t>Cast all your anxiety on him, because he cares for you.</t>
        </is>
      </c>
      <c r="G3" s="17" t="inlineStr">
        <is>
          <t>1 Peter 5:7</t>
        </is>
      </c>
      <c r="H3" s="17" t="inlineStr"/>
      <c r="I3" s="16" t="inlineStr"/>
      <c r="J3" s="16" t="inlineStr"/>
      <c r="K3" s="16" t="inlineStr"/>
      <c r="L3" s="17" t="inlineStr"/>
      <c r="M3" s="17" t="inlineStr">
        <is>
          <t>Published</t>
        </is>
      </c>
      <c r="N3" s="16" t="inlineStr">
        <is>
          <t>Imported from the app rather than written by a contributor. These two chapters were built before this sheet existed and no curriculum was ever written for them — that is the gap this sheet closes. The class is Beginner and is settled.
Content-owner confirmation needed: the memory verse translation is still the word PLACEHOLDER in the repository. The wording is the NIV's and is painted into the artwork of panel 17, so changing translation later means redrawing a panel.
Imported from the app (content/wedding-at-cana.story.json).</t>
        </is>
      </c>
    </row>
    <row r="4">
      <c r="A4" s="11" t="n"/>
      <c r="B4" s="12" t="n"/>
      <c r="C4" s="13" t="n"/>
      <c r="D4" s="12" t="n"/>
      <c r="E4" s="14">
        <f>IF($A4="","",IFERROR(TEXTJOIN(CHAR(10),TRUE,FILTER('Learning Objectives'!$D:$D,'Learning Objectives'!$A:$A="Beginner",'Learning Objectives'!$B:$B=$A4)),""))</f>
        <v/>
      </c>
      <c r="F4" s="12" t="n"/>
      <c r="G4" s="13" t="n"/>
      <c r="H4" s="13" t="n"/>
      <c r="I4" s="12" t="n"/>
      <c r="J4" s="12" t="n"/>
      <c r="K4" s="12" t="n"/>
      <c r="L4" s="13" t="n"/>
      <c r="M4" s="13" t="n"/>
      <c r="N4" s="12" t="n"/>
    </row>
    <row r="5">
      <c r="A5" s="11" t="n"/>
      <c r="B5" s="12" t="n"/>
      <c r="C5" s="13" t="n"/>
      <c r="D5" s="12" t="n"/>
      <c r="E5" s="14">
        <f>IF($A5="","",IFERROR(TEXTJOIN(CHAR(10),TRUE,FILTER('Learning Objectives'!$D:$D,'Learning Objectives'!$A:$A="Beginner",'Learning Objectives'!$B:$B=$A5)),""))</f>
        <v/>
      </c>
      <c r="F5" s="12" t="n"/>
      <c r="G5" s="13" t="n"/>
      <c r="H5" s="13" t="n"/>
      <c r="I5" s="12" t="n"/>
      <c r="J5" s="12" t="n"/>
      <c r="K5" s="12" t="n"/>
      <c r="L5" s="13" t="n"/>
      <c r="M5" s="13" t="n"/>
      <c r="N5" s="12" t="n"/>
    </row>
    <row r="6">
      <c r="A6" s="11" t="n"/>
      <c r="B6" s="12" t="n"/>
      <c r="C6" s="13" t="n"/>
      <c r="D6" s="12" t="n"/>
      <c r="E6" s="14">
        <f>IF($A6="","",IFERROR(TEXTJOIN(CHAR(10),TRUE,FILTER('Learning Objectives'!$D:$D,'Learning Objectives'!$A:$A="Beginner",'Learning Objectives'!$B:$B=$A6)),""))</f>
        <v/>
      </c>
      <c r="F6" s="12" t="n"/>
      <c r="G6" s="13" t="n"/>
      <c r="H6" s="13" t="n"/>
      <c r="I6" s="12" t="n"/>
      <c r="J6" s="12" t="n"/>
      <c r="K6" s="12" t="n"/>
      <c r="L6" s="13" t="n"/>
      <c r="M6" s="13" t="n"/>
      <c r="N6" s="12" t="n"/>
    </row>
    <row r="7">
      <c r="A7" s="11" t="n"/>
      <c r="B7" s="12" t="n"/>
      <c r="C7" s="13" t="n"/>
      <c r="D7" s="12" t="n"/>
      <c r="E7" s="14">
        <f>IF($A7="","",IFERROR(TEXTJOIN(CHAR(10),TRUE,FILTER('Learning Objectives'!$D:$D,'Learning Objectives'!$A:$A="Beginner",'Learning Objectives'!$B:$B=$A7)),""))</f>
        <v/>
      </c>
      <c r="F7" s="12" t="n"/>
      <c r="G7" s="13" t="n"/>
      <c r="H7" s="13" t="n"/>
      <c r="I7" s="12" t="n"/>
      <c r="J7" s="12" t="n"/>
      <c r="K7" s="12" t="n"/>
      <c r="L7" s="13" t="n"/>
      <c r="M7" s="13" t="n"/>
      <c r="N7" s="12" t="n"/>
    </row>
    <row r="8">
      <c r="A8" s="11" t="n"/>
      <c r="B8" s="12" t="n"/>
      <c r="C8" s="13" t="n"/>
      <c r="D8" s="12" t="n"/>
      <c r="E8" s="14">
        <f>IF($A8="","",IFERROR(TEXTJOIN(CHAR(10),TRUE,FILTER('Learning Objectives'!$D:$D,'Learning Objectives'!$A:$A="Beginner",'Learning Objectives'!$B:$B=$A8)),""))</f>
        <v/>
      </c>
      <c r="F8" s="12" t="n"/>
      <c r="G8" s="13" t="n"/>
      <c r="H8" s="13" t="n"/>
      <c r="I8" s="12" t="n"/>
      <c r="J8" s="12" t="n"/>
      <c r="K8" s="12" t="n"/>
      <c r="L8" s="13" t="n"/>
      <c r="M8" s="13" t="n"/>
      <c r="N8" s="12" t="n"/>
    </row>
    <row r="9">
      <c r="A9" s="11" t="n"/>
      <c r="B9" s="12" t="n"/>
      <c r="C9" s="13" t="n"/>
      <c r="D9" s="12" t="n"/>
      <c r="E9" s="14">
        <f>IF($A9="","",IFERROR(TEXTJOIN(CHAR(10),TRUE,FILTER('Learning Objectives'!$D:$D,'Learning Objectives'!$A:$A="Beginner",'Learning Objectives'!$B:$B=$A9)),""))</f>
        <v/>
      </c>
      <c r="F9" s="12" t="n"/>
      <c r="G9" s="13" t="n"/>
      <c r="H9" s="13" t="n"/>
      <c r="I9" s="12" t="n"/>
      <c r="J9" s="12" t="n"/>
      <c r="K9" s="12" t="n"/>
      <c r="L9" s="13" t="n"/>
      <c r="M9" s="13" t="n"/>
      <c r="N9" s="12" t="n"/>
    </row>
    <row r="10">
      <c r="A10" s="11" t="n"/>
      <c r="B10" s="12" t="n"/>
      <c r="C10" s="13" t="n"/>
      <c r="D10" s="12" t="n"/>
      <c r="E10" s="14">
        <f>IF($A10="","",IFERROR(TEXTJOIN(CHAR(10),TRUE,FILTER('Learning Objectives'!$D:$D,'Learning Objectives'!$A:$A="Beginner",'Learning Objectives'!$B:$B=$A10)),""))</f>
        <v/>
      </c>
      <c r="F10" s="12" t="n"/>
      <c r="G10" s="13" t="n"/>
      <c r="H10" s="13" t="n"/>
      <c r="I10" s="12" t="n"/>
      <c r="J10" s="12" t="n"/>
      <c r="K10" s="12" t="n"/>
      <c r="L10" s="13" t="n"/>
      <c r="M10" s="13" t="n"/>
      <c r="N10" s="12" t="n"/>
    </row>
    <row r="11">
      <c r="A11" s="11" t="n"/>
      <c r="B11" s="12" t="n"/>
      <c r="C11" s="13" t="n"/>
      <c r="D11" s="12" t="n"/>
      <c r="E11" s="14">
        <f>IF($A11="","",IFERROR(TEXTJOIN(CHAR(10),TRUE,FILTER('Learning Objectives'!$D:$D,'Learning Objectives'!$A:$A="Beginner",'Learning Objectives'!$B:$B=$A11)),""))</f>
        <v/>
      </c>
      <c r="F11" s="12" t="n"/>
      <c r="G11" s="13" t="n"/>
      <c r="H11" s="13" t="n"/>
      <c r="I11" s="12" t="n"/>
      <c r="J11" s="12" t="n"/>
      <c r="K11" s="12" t="n"/>
      <c r="L11" s="13" t="n"/>
      <c r="M11" s="13" t="n"/>
      <c r="N11" s="12" t="n"/>
    </row>
    <row r="12">
      <c r="A12" s="11" t="n"/>
      <c r="B12" s="12" t="n"/>
      <c r="C12" s="13" t="n"/>
      <c r="D12" s="12" t="n"/>
      <c r="E12" s="14">
        <f>IF($A12="","",IFERROR(TEXTJOIN(CHAR(10),TRUE,FILTER('Learning Objectives'!$D:$D,'Learning Objectives'!$A:$A="Beginner",'Learning Objectives'!$B:$B=$A12)),""))</f>
        <v/>
      </c>
      <c r="F12" s="12" t="n"/>
      <c r="G12" s="13" t="n"/>
      <c r="H12" s="13" t="n"/>
      <c r="I12" s="12" t="n"/>
      <c r="J12" s="12" t="n"/>
      <c r="K12" s="12" t="n"/>
      <c r="L12" s="13" t="n"/>
      <c r="M12" s="13" t="n"/>
      <c r="N12" s="12" t="n"/>
    </row>
    <row r="13">
      <c r="A13" s="11" t="n"/>
      <c r="B13" s="12" t="n"/>
      <c r="C13" s="13" t="n"/>
      <c r="D13" s="12" t="n"/>
      <c r="E13" s="14">
        <f>IF($A13="","",IFERROR(TEXTJOIN(CHAR(10),TRUE,FILTER('Learning Objectives'!$D:$D,'Learning Objectives'!$A:$A="Beginner",'Learning Objectives'!$B:$B=$A13)),""))</f>
        <v/>
      </c>
      <c r="F13" s="12" t="n"/>
      <c r="G13" s="13" t="n"/>
      <c r="H13" s="13" t="n"/>
      <c r="I13" s="12" t="n"/>
      <c r="J13" s="12" t="n"/>
      <c r="K13" s="12" t="n"/>
      <c r="L13" s="13" t="n"/>
      <c r="M13" s="13" t="n"/>
      <c r="N13" s="12" t="n"/>
    </row>
    <row r="14">
      <c r="A14" s="11" t="n"/>
      <c r="B14" s="12" t="n"/>
      <c r="C14" s="13" t="n"/>
      <c r="D14" s="12" t="n"/>
      <c r="E14" s="14">
        <f>IF($A14="","",IFERROR(TEXTJOIN(CHAR(10),TRUE,FILTER('Learning Objectives'!$D:$D,'Learning Objectives'!$A:$A="Beginner",'Learning Objectives'!$B:$B=$A14)),""))</f>
        <v/>
      </c>
      <c r="F14" s="12" t="n"/>
      <c r="G14" s="13" t="n"/>
      <c r="H14" s="13" t="n"/>
      <c r="I14" s="12" t="n"/>
      <c r="J14" s="12" t="n"/>
      <c r="K14" s="12" t="n"/>
      <c r="L14" s="13" t="n"/>
      <c r="M14" s="13" t="n"/>
      <c r="N14" s="12" t="n"/>
    </row>
    <row r="15">
      <c r="A15" s="11" t="n"/>
      <c r="B15" s="12" t="n"/>
      <c r="C15" s="13" t="n"/>
      <c r="D15" s="12" t="n"/>
      <c r="E15" s="14">
        <f>IF($A15="","",IFERROR(TEXTJOIN(CHAR(10),TRUE,FILTER('Learning Objectives'!$D:$D,'Learning Objectives'!$A:$A="Beginner",'Learning Objectives'!$B:$B=$A15)),""))</f>
        <v/>
      </c>
      <c r="F15" s="12" t="n"/>
      <c r="G15" s="13" t="n"/>
      <c r="H15" s="13" t="n"/>
      <c r="I15" s="12" t="n"/>
      <c r="J15" s="12" t="n"/>
      <c r="K15" s="12" t="n"/>
      <c r="L15" s="13" t="n"/>
      <c r="M15" s="13" t="n"/>
      <c r="N15" s="12" t="n"/>
    </row>
    <row r="16">
      <c r="A16" s="11" t="n"/>
      <c r="B16" s="12" t="n"/>
      <c r="C16" s="13" t="n"/>
      <c r="D16" s="12" t="n"/>
      <c r="E16" s="14">
        <f>IF($A16="","",IFERROR(TEXTJOIN(CHAR(10),TRUE,FILTER('Learning Objectives'!$D:$D,'Learning Objectives'!$A:$A="Beginner",'Learning Objectives'!$B:$B=$A16)),""))</f>
        <v/>
      </c>
      <c r="F16" s="12" t="n"/>
      <c r="G16" s="13" t="n"/>
      <c r="H16" s="13" t="n"/>
      <c r="I16" s="12" t="n"/>
      <c r="J16" s="12" t="n"/>
      <c r="K16" s="12" t="n"/>
      <c r="L16" s="13" t="n"/>
      <c r="M16" s="13" t="n"/>
      <c r="N16" s="12" t="n"/>
    </row>
    <row r="17">
      <c r="A17" s="11" t="n"/>
      <c r="B17" s="12" t="n"/>
      <c r="C17" s="13" t="n"/>
      <c r="D17" s="12" t="n"/>
      <c r="E17" s="14">
        <f>IF($A17="","",IFERROR(TEXTJOIN(CHAR(10),TRUE,FILTER('Learning Objectives'!$D:$D,'Learning Objectives'!$A:$A="Beginner",'Learning Objectives'!$B:$B=$A17)),""))</f>
        <v/>
      </c>
      <c r="F17" s="12" t="n"/>
      <c r="G17" s="13" t="n"/>
      <c r="H17" s="13" t="n"/>
      <c r="I17" s="12" t="n"/>
      <c r="J17" s="12" t="n"/>
      <c r="K17" s="12" t="n"/>
      <c r="L17" s="13" t="n"/>
      <c r="M17" s="13" t="n"/>
      <c r="N17" s="12" t="n"/>
    </row>
    <row r="18">
      <c r="A18" s="11" t="n"/>
      <c r="B18" s="12" t="n"/>
      <c r="C18" s="13" t="n"/>
      <c r="D18" s="12" t="n"/>
      <c r="E18" s="14">
        <f>IF($A18="","",IFERROR(TEXTJOIN(CHAR(10),TRUE,FILTER('Learning Objectives'!$D:$D,'Learning Objectives'!$A:$A="Beginner",'Learning Objectives'!$B:$B=$A18)),""))</f>
        <v/>
      </c>
      <c r="F18" s="12" t="n"/>
      <c r="G18" s="13" t="n"/>
      <c r="H18" s="13" t="n"/>
      <c r="I18" s="12" t="n"/>
      <c r="J18" s="12" t="n"/>
      <c r="K18" s="12" t="n"/>
      <c r="L18" s="13" t="n"/>
      <c r="M18" s="13" t="n"/>
      <c r="N18" s="12" t="n"/>
    </row>
    <row r="19">
      <c r="A19" s="11" t="n"/>
      <c r="B19" s="12" t="n"/>
      <c r="C19" s="13" t="n"/>
      <c r="D19" s="12" t="n"/>
      <c r="E19" s="14">
        <f>IF($A19="","",IFERROR(TEXTJOIN(CHAR(10),TRUE,FILTER('Learning Objectives'!$D:$D,'Learning Objectives'!$A:$A="Beginner",'Learning Objectives'!$B:$B=$A19)),""))</f>
        <v/>
      </c>
      <c r="F19" s="12" t="n"/>
      <c r="G19" s="13" t="n"/>
      <c r="H19" s="13" t="n"/>
      <c r="I19" s="12" t="n"/>
      <c r="J19" s="12" t="n"/>
      <c r="K19" s="12" t="n"/>
      <c r="L19" s="13" t="n"/>
      <c r="M19" s="13" t="n"/>
      <c r="N19" s="12" t="n"/>
    </row>
    <row r="20">
      <c r="A20" s="11" t="n"/>
      <c r="B20" s="12" t="n"/>
      <c r="C20" s="13" t="n"/>
      <c r="D20" s="12" t="n"/>
      <c r="E20" s="14">
        <f>IF($A20="","",IFERROR(TEXTJOIN(CHAR(10),TRUE,FILTER('Learning Objectives'!$D:$D,'Learning Objectives'!$A:$A="Beginner",'Learning Objectives'!$B:$B=$A20)),""))</f>
        <v/>
      </c>
      <c r="F20" s="12" t="n"/>
      <c r="G20" s="13" t="n"/>
      <c r="H20" s="13" t="n"/>
      <c r="I20" s="12" t="n"/>
      <c r="J20" s="12" t="n"/>
      <c r="K20" s="12" t="n"/>
      <c r="L20" s="13" t="n"/>
      <c r="M20" s="13" t="n"/>
      <c r="N20" s="12" t="n"/>
    </row>
    <row r="21">
      <c r="A21" s="11" t="n"/>
      <c r="B21" s="12" t="n"/>
      <c r="C21" s="13" t="n"/>
      <c r="D21" s="12" t="n"/>
      <c r="E21" s="14">
        <f>IF($A21="","",IFERROR(TEXTJOIN(CHAR(10),TRUE,FILTER('Learning Objectives'!$D:$D,'Learning Objectives'!$A:$A="Beginner",'Learning Objectives'!$B:$B=$A21)),""))</f>
        <v/>
      </c>
      <c r="F21" s="12" t="n"/>
      <c r="G21" s="13" t="n"/>
      <c r="H21" s="13" t="n"/>
      <c r="I21" s="12" t="n"/>
      <c r="J21" s="12" t="n"/>
      <c r="K21" s="12" t="n"/>
      <c r="L21" s="13" t="n"/>
      <c r="M21" s="13" t="n"/>
      <c r="N21" s="12" t="n"/>
    </row>
    <row r="22">
      <c r="A22" s="11" t="n"/>
      <c r="B22" s="12" t="n"/>
      <c r="C22" s="13" t="n"/>
      <c r="D22" s="12" t="n"/>
      <c r="E22" s="14">
        <f>IF($A22="","",IFERROR(TEXTJOIN(CHAR(10),TRUE,FILTER('Learning Objectives'!$D:$D,'Learning Objectives'!$A:$A="Beginner",'Learning Objectives'!$B:$B=$A22)),""))</f>
        <v/>
      </c>
      <c r="F22" s="12" t="n"/>
      <c r="G22" s="13" t="n"/>
      <c r="H22" s="13" t="n"/>
      <c r="I22" s="12" t="n"/>
      <c r="J22" s="12" t="n"/>
      <c r="K22" s="12" t="n"/>
      <c r="L22" s="13" t="n"/>
      <c r="M22" s="13" t="n"/>
      <c r="N22" s="12" t="n"/>
    </row>
    <row r="23">
      <c r="A23" s="11" t="n"/>
      <c r="B23" s="12" t="n"/>
      <c r="C23" s="13" t="n"/>
      <c r="D23" s="12" t="n"/>
      <c r="E23" s="14">
        <f>IF($A23="","",IFERROR(TEXTJOIN(CHAR(10),TRUE,FILTER('Learning Objectives'!$D:$D,'Learning Objectives'!$A:$A="Beginner",'Learning Objectives'!$B:$B=$A23)),""))</f>
        <v/>
      </c>
      <c r="F23" s="12" t="n"/>
      <c r="G23" s="13" t="n"/>
      <c r="H23" s="13" t="n"/>
      <c r="I23" s="12" t="n"/>
      <c r="J23" s="12" t="n"/>
      <c r="K23" s="12" t="n"/>
      <c r="L23" s="13" t="n"/>
      <c r="M23" s="13" t="n"/>
      <c r="N23" s="12" t="n"/>
    </row>
    <row r="24">
      <c r="A24" s="11" t="n"/>
      <c r="B24" s="12" t="n"/>
      <c r="C24" s="13" t="n"/>
      <c r="D24" s="12" t="n"/>
      <c r="E24" s="14">
        <f>IF($A24="","",IFERROR(TEXTJOIN(CHAR(10),TRUE,FILTER('Learning Objectives'!$D:$D,'Learning Objectives'!$A:$A="Beginner",'Learning Objectives'!$B:$B=$A24)),""))</f>
        <v/>
      </c>
      <c r="F24" s="12" t="n"/>
      <c r="G24" s="13" t="n"/>
      <c r="H24" s="13" t="n"/>
      <c r="I24" s="12" t="n"/>
      <c r="J24" s="12" t="n"/>
      <c r="K24" s="12" t="n"/>
      <c r="L24" s="13" t="n"/>
      <c r="M24" s="13" t="n"/>
      <c r="N24" s="12" t="n"/>
    </row>
    <row r="25">
      <c r="A25" s="11" t="n"/>
      <c r="B25" s="12" t="n"/>
      <c r="C25" s="13" t="n"/>
      <c r="D25" s="12" t="n"/>
      <c r="E25" s="14">
        <f>IF($A25="","",IFERROR(TEXTJOIN(CHAR(10),TRUE,FILTER('Learning Objectives'!$D:$D,'Learning Objectives'!$A:$A="Beginner",'Learning Objectives'!$B:$B=$A25)),""))</f>
        <v/>
      </c>
      <c r="F25" s="12" t="n"/>
      <c r="G25" s="13" t="n"/>
      <c r="H25" s="13" t="n"/>
      <c r="I25" s="12" t="n"/>
      <c r="J25" s="12" t="n"/>
      <c r="K25" s="12" t="n"/>
      <c r="L25" s="13" t="n"/>
      <c r="M25" s="13" t="n"/>
      <c r="N25" s="12" t="n"/>
    </row>
    <row r="26">
      <c r="A26" s="11" t="n"/>
      <c r="B26" s="12" t="n"/>
      <c r="C26" s="13" t="n"/>
      <c r="D26" s="12" t="n"/>
      <c r="E26" s="14">
        <f>IF($A26="","",IFERROR(TEXTJOIN(CHAR(10),TRUE,FILTER('Learning Objectives'!$D:$D,'Learning Objectives'!$A:$A="Beginner",'Learning Objectives'!$B:$B=$A26)),""))</f>
        <v/>
      </c>
      <c r="F26" s="12" t="n"/>
      <c r="G26" s="13" t="n"/>
      <c r="H26" s="13" t="n"/>
      <c r="I26" s="12" t="n"/>
      <c r="J26" s="12" t="n"/>
      <c r="K26" s="12" t="n"/>
      <c r="L26" s="13" t="n"/>
      <c r="M26" s="13" t="n"/>
      <c r="N26" s="12" t="n"/>
    </row>
    <row r="27">
      <c r="A27" s="11" t="n"/>
      <c r="B27" s="12" t="n"/>
      <c r="C27" s="13" t="n"/>
      <c r="D27" s="12" t="n"/>
      <c r="E27" s="14">
        <f>IF($A27="","",IFERROR(TEXTJOIN(CHAR(10),TRUE,FILTER('Learning Objectives'!$D:$D,'Learning Objectives'!$A:$A="Beginner",'Learning Objectives'!$B:$B=$A27)),""))</f>
        <v/>
      </c>
      <c r="F27" s="12" t="n"/>
      <c r="G27" s="13" t="n"/>
      <c r="H27" s="13" t="n"/>
      <c r="I27" s="12" t="n"/>
      <c r="J27" s="12" t="n"/>
      <c r="K27" s="12" t="n"/>
      <c r="L27" s="13" t="n"/>
      <c r="M27" s="13" t="n"/>
      <c r="N27" s="12" t="n"/>
    </row>
    <row r="28">
      <c r="A28" s="11" t="n"/>
      <c r="B28" s="12" t="n"/>
      <c r="C28" s="13" t="n"/>
      <c r="D28" s="12" t="n"/>
      <c r="E28" s="14">
        <f>IF($A28="","",IFERROR(TEXTJOIN(CHAR(10),TRUE,FILTER('Learning Objectives'!$D:$D,'Learning Objectives'!$A:$A="Beginner",'Learning Objectives'!$B:$B=$A28)),""))</f>
        <v/>
      </c>
      <c r="F28" s="12" t="n"/>
      <c r="G28" s="13" t="n"/>
      <c r="H28" s="13" t="n"/>
      <c r="I28" s="12" t="n"/>
      <c r="J28" s="12" t="n"/>
      <c r="K28" s="12" t="n"/>
      <c r="L28" s="13" t="n"/>
      <c r="M28" s="13" t="n"/>
      <c r="N28" s="12" t="n"/>
    </row>
    <row r="29">
      <c r="A29" s="11" t="n"/>
      <c r="B29" s="12" t="n"/>
      <c r="C29" s="13" t="n"/>
      <c r="D29" s="12" t="n"/>
      <c r="E29" s="14">
        <f>IF($A29="","",IFERROR(TEXTJOIN(CHAR(10),TRUE,FILTER('Learning Objectives'!$D:$D,'Learning Objectives'!$A:$A="Beginner",'Learning Objectives'!$B:$B=$A29)),""))</f>
        <v/>
      </c>
      <c r="F29" s="12" t="n"/>
      <c r="G29" s="13" t="n"/>
      <c r="H29" s="13" t="n"/>
      <c r="I29" s="12" t="n"/>
      <c r="J29" s="12" t="n"/>
      <c r="K29" s="12" t="n"/>
      <c r="L29" s="13" t="n"/>
      <c r="M29" s="13" t="n"/>
      <c r="N29" s="12" t="n"/>
    </row>
    <row r="30">
      <c r="A30" s="11" t="n"/>
      <c r="B30" s="12" t="n"/>
      <c r="C30" s="13" t="n"/>
      <c r="D30" s="12" t="n"/>
      <c r="E30" s="14">
        <f>IF($A30="","",IFERROR(TEXTJOIN(CHAR(10),TRUE,FILTER('Learning Objectives'!$D:$D,'Learning Objectives'!$A:$A="Beginner",'Learning Objectives'!$B:$B=$A30)),""))</f>
        <v/>
      </c>
      <c r="F30" s="12" t="n"/>
      <c r="G30" s="13" t="n"/>
      <c r="H30" s="13" t="n"/>
      <c r="I30" s="12" t="n"/>
      <c r="J30" s="12" t="n"/>
      <c r="K30" s="12" t="n"/>
      <c r="L30" s="13" t="n"/>
      <c r="M30" s="13" t="n"/>
      <c r="N30" s="12" t="n"/>
    </row>
    <row r="31">
      <c r="A31" s="11" t="n"/>
      <c r="B31" s="12" t="n"/>
      <c r="C31" s="13" t="n"/>
      <c r="D31" s="12" t="n"/>
      <c r="E31" s="14">
        <f>IF($A31="","",IFERROR(TEXTJOIN(CHAR(10),TRUE,FILTER('Learning Objectives'!$D:$D,'Learning Objectives'!$A:$A="Beginner",'Learning Objectives'!$B:$B=$A31)),""))</f>
        <v/>
      </c>
      <c r="F31" s="12" t="n"/>
      <c r="G31" s="13" t="n"/>
      <c r="H31" s="13" t="n"/>
      <c r="I31" s="12" t="n"/>
      <c r="J31" s="12" t="n"/>
      <c r="K31" s="12" t="n"/>
      <c r="L31" s="13" t="n"/>
      <c r="M31" s="13" t="n"/>
      <c r="N31" s="12" t="n"/>
    </row>
    <row r="32">
      <c r="A32" s="11" t="n"/>
      <c r="B32" s="12" t="n"/>
      <c r="C32" s="13" t="n"/>
      <c r="D32" s="12" t="n"/>
      <c r="E32" s="14">
        <f>IF($A32="","",IFERROR(TEXTJOIN(CHAR(10),TRUE,FILTER('Learning Objectives'!$D:$D,'Learning Objectives'!$A:$A="Beginner",'Learning Objectives'!$B:$B=$A32)),""))</f>
        <v/>
      </c>
      <c r="F32" s="12" t="n"/>
      <c r="G32" s="13" t="n"/>
      <c r="H32" s="13" t="n"/>
      <c r="I32" s="12" t="n"/>
      <c r="J32" s="12" t="n"/>
      <c r="K32" s="12" t="n"/>
      <c r="L32" s="13" t="n"/>
      <c r="M32" s="13" t="n"/>
      <c r="N32" s="12" t="n"/>
    </row>
    <row r="33">
      <c r="A33" s="11" t="n"/>
      <c r="B33" s="12" t="n"/>
      <c r="C33" s="13" t="n"/>
      <c r="D33" s="12" t="n"/>
      <c r="E33" s="14">
        <f>IF($A33="","",IFERROR(TEXTJOIN(CHAR(10),TRUE,FILTER('Learning Objectives'!$D:$D,'Learning Objectives'!$A:$A="Beginner",'Learning Objectives'!$B:$B=$A33)),""))</f>
        <v/>
      </c>
      <c r="F33" s="12" t="n"/>
      <c r="G33" s="13" t="n"/>
      <c r="H33" s="13" t="n"/>
      <c r="I33" s="12" t="n"/>
      <c r="J33" s="12" t="n"/>
      <c r="K33" s="12" t="n"/>
      <c r="L33" s="13" t="n"/>
      <c r="M33" s="13" t="n"/>
      <c r="N33" s="12" t="n"/>
    </row>
    <row r="34">
      <c r="A34" s="11" t="n"/>
      <c r="B34" s="12" t="n"/>
      <c r="C34" s="13" t="n"/>
      <c r="D34" s="12" t="n"/>
      <c r="E34" s="14">
        <f>IF($A34="","",IFERROR(TEXTJOIN(CHAR(10),TRUE,FILTER('Learning Objectives'!$D:$D,'Learning Objectives'!$A:$A="Beginner",'Learning Objectives'!$B:$B=$A34)),""))</f>
        <v/>
      </c>
      <c r="F34" s="12" t="n"/>
      <c r="G34" s="13" t="n"/>
      <c r="H34" s="13" t="n"/>
      <c r="I34" s="12" t="n"/>
      <c r="J34" s="12" t="n"/>
      <c r="K34" s="12" t="n"/>
      <c r="L34" s="13" t="n"/>
      <c r="M34" s="13" t="n"/>
      <c r="N34" s="12" t="n"/>
    </row>
    <row r="35">
      <c r="A35" s="11" t="n"/>
      <c r="B35" s="12" t="n"/>
      <c r="C35" s="13" t="n"/>
      <c r="D35" s="12" t="n"/>
      <c r="E35" s="14">
        <f>IF($A35="","",IFERROR(TEXTJOIN(CHAR(10),TRUE,FILTER('Learning Objectives'!$D:$D,'Learning Objectives'!$A:$A="Beginner",'Learning Objectives'!$B:$B=$A35)),""))</f>
        <v/>
      </c>
      <c r="F35" s="12" t="n"/>
      <c r="G35" s="13" t="n"/>
      <c r="H35" s="13" t="n"/>
      <c r="I35" s="12" t="n"/>
      <c r="J35" s="12" t="n"/>
      <c r="K35" s="12" t="n"/>
      <c r="L35" s="13" t="n"/>
      <c r="M35" s="13" t="n"/>
      <c r="N35" s="12" t="n"/>
    </row>
    <row r="36">
      <c r="A36" s="11" t="n"/>
      <c r="B36" s="12" t="n"/>
      <c r="C36" s="13" t="n"/>
      <c r="D36" s="12" t="n"/>
      <c r="E36" s="14">
        <f>IF($A36="","",IFERROR(TEXTJOIN(CHAR(10),TRUE,FILTER('Learning Objectives'!$D:$D,'Learning Objectives'!$A:$A="Beginner",'Learning Objectives'!$B:$B=$A36)),""))</f>
        <v/>
      </c>
      <c r="F36" s="12" t="n"/>
      <c r="G36" s="13" t="n"/>
      <c r="H36" s="13" t="n"/>
      <c r="I36" s="12" t="n"/>
      <c r="J36" s="12" t="n"/>
      <c r="K36" s="12" t="n"/>
      <c r="L36" s="13" t="n"/>
      <c r="M36" s="13" t="n"/>
      <c r="N36" s="12" t="n"/>
    </row>
    <row r="37">
      <c r="A37" s="11" t="n"/>
      <c r="B37" s="12" t="n"/>
      <c r="C37" s="13" t="n"/>
      <c r="D37" s="12" t="n"/>
      <c r="E37" s="14">
        <f>IF($A37="","",IFERROR(TEXTJOIN(CHAR(10),TRUE,FILTER('Learning Objectives'!$D:$D,'Learning Objectives'!$A:$A="Beginner",'Learning Objectives'!$B:$B=$A37)),""))</f>
        <v/>
      </c>
      <c r="F37" s="12" t="n"/>
      <c r="G37" s="13" t="n"/>
      <c r="H37" s="13" t="n"/>
      <c r="I37" s="12" t="n"/>
      <c r="J37" s="12" t="n"/>
      <c r="K37" s="12" t="n"/>
      <c r="L37" s="13" t="n"/>
      <c r="M37" s="13" t="n"/>
      <c r="N37" s="12" t="n"/>
    </row>
    <row r="38">
      <c r="A38" s="11" t="n"/>
      <c r="B38" s="12" t="n"/>
      <c r="C38" s="13" t="n"/>
      <c r="D38" s="12" t="n"/>
      <c r="E38" s="14">
        <f>IF($A38="","",IFERROR(TEXTJOIN(CHAR(10),TRUE,FILTER('Learning Objectives'!$D:$D,'Learning Objectives'!$A:$A="Beginner",'Learning Objectives'!$B:$B=$A38)),""))</f>
        <v/>
      </c>
      <c r="F38" s="12" t="n"/>
      <c r="G38" s="13" t="n"/>
      <c r="H38" s="13" t="n"/>
      <c r="I38" s="12" t="n"/>
      <c r="J38" s="12" t="n"/>
      <c r="K38" s="12" t="n"/>
      <c r="L38" s="13" t="n"/>
      <c r="M38" s="13" t="n"/>
      <c r="N38" s="12" t="n"/>
    </row>
    <row r="39">
      <c r="A39" s="11" t="n"/>
      <c r="B39" s="12" t="n"/>
      <c r="C39" s="13" t="n"/>
      <c r="D39" s="12" t="n"/>
      <c r="E39" s="14">
        <f>IF($A39="","",IFERROR(TEXTJOIN(CHAR(10),TRUE,FILTER('Learning Objectives'!$D:$D,'Learning Objectives'!$A:$A="Beginner",'Learning Objectives'!$B:$B=$A39)),""))</f>
        <v/>
      </c>
      <c r="F39" s="12" t="n"/>
      <c r="G39" s="13" t="n"/>
      <c r="H39" s="13" t="n"/>
      <c r="I39" s="12" t="n"/>
      <c r="J39" s="12" t="n"/>
      <c r="K39" s="12" t="n"/>
      <c r="L39" s="13" t="n"/>
      <c r="M39" s="13" t="n"/>
      <c r="N39" s="12" t="n"/>
    </row>
    <row r="40">
      <c r="A40" s="11" t="n"/>
      <c r="B40" s="12" t="n"/>
      <c r="C40" s="13" t="n"/>
      <c r="D40" s="12" t="n"/>
      <c r="E40" s="14">
        <f>IF($A40="","",IFERROR(TEXTJOIN(CHAR(10),TRUE,FILTER('Learning Objectives'!$D:$D,'Learning Objectives'!$A:$A="Beginner",'Learning Objectives'!$B:$B=$A40)),""))</f>
        <v/>
      </c>
      <c r="F40" s="12" t="n"/>
      <c r="G40" s="13" t="n"/>
      <c r="H40" s="13" t="n"/>
      <c r="I40" s="12" t="n"/>
      <c r="J40" s="12" t="n"/>
      <c r="K40" s="12" t="n"/>
      <c r="L40" s="13" t="n"/>
      <c r="M40" s="13" t="n"/>
      <c r="N40" s="12" t="n"/>
    </row>
    <row r="41">
      <c r="A41" s="11" t="n"/>
      <c r="B41" s="12" t="n"/>
      <c r="C41" s="13" t="n"/>
      <c r="D41" s="12" t="n"/>
      <c r="E41" s="14">
        <f>IF($A41="","",IFERROR(TEXTJOIN(CHAR(10),TRUE,FILTER('Learning Objectives'!$D:$D,'Learning Objectives'!$A:$A="Beginner",'Learning Objectives'!$B:$B=$A41)),""))</f>
        <v/>
      </c>
      <c r="F41" s="12" t="n"/>
      <c r="G41" s="13" t="n"/>
      <c r="H41" s="13" t="n"/>
      <c r="I41" s="12" t="n"/>
      <c r="J41" s="12" t="n"/>
      <c r="K41" s="12" t="n"/>
      <c r="L41" s="13" t="n"/>
      <c r="M41" s="13" t="n"/>
      <c r="N41" s="12" t="n"/>
    </row>
    <row r="42">
      <c r="A42" s="11" t="n"/>
      <c r="B42" s="12" t="n"/>
      <c r="C42" s="13" t="n"/>
      <c r="D42" s="12" t="n"/>
      <c r="E42" s="14">
        <f>IF($A42="","",IFERROR(TEXTJOIN(CHAR(10),TRUE,FILTER('Learning Objectives'!$D:$D,'Learning Objectives'!$A:$A="Beginner",'Learning Objectives'!$B:$B=$A42)),""))</f>
        <v/>
      </c>
      <c r="F42" s="12" t="n"/>
      <c r="G42" s="13" t="n"/>
      <c r="H42" s="13" t="n"/>
      <c r="I42" s="12" t="n"/>
      <c r="J42" s="12" t="n"/>
      <c r="K42" s="12" t="n"/>
      <c r="L42" s="13" t="n"/>
      <c r="M42" s="13" t="n"/>
      <c r="N42" s="12" t="n"/>
    </row>
    <row r="43">
      <c r="A43" s="11" t="n"/>
      <c r="B43" s="12" t="n"/>
      <c r="C43" s="13" t="n"/>
      <c r="D43" s="12" t="n"/>
      <c r="E43" s="14">
        <f>IF($A43="","",IFERROR(TEXTJOIN(CHAR(10),TRUE,FILTER('Learning Objectives'!$D:$D,'Learning Objectives'!$A:$A="Beginner",'Learning Objectives'!$B:$B=$A43)),""))</f>
        <v/>
      </c>
      <c r="F43" s="12" t="n"/>
      <c r="G43" s="13" t="n"/>
      <c r="H43" s="13" t="n"/>
      <c r="I43" s="12" t="n"/>
      <c r="J43" s="12" t="n"/>
      <c r="K43" s="12" t="n"/>
      <c r="L43" s="13" t="n"/>
      <c r="M43" s="13" t="n"/>
      <c r="N43" s="12" t="n"/>
    </row>
    <row r="44">
      <c r="A44" s="11" t="n"/>
      <c r="B44" s="12" t="n"/>
      <c r="C44" s="13" t="n"/>
      <c r="D44" s="12" t="n"/>
      <c r="E44" s="14">
        <f>IF($A44="","",IFERROR(TEXTJOIN(CHAR(10),TRUE,FILTER('Learning Objectives'!$D:$D,'Learning Objectives'!$A:$A="Beginner",'Learning Objectives'!$B:$B=$A44)),""))</f>
        <v/>
      </c>
      <c r="F44" s="12" t="n"/>
      <c r="G44" s="13" t="n"/>
      <c r="H44" s="13" t="n"/>
      <c r="I44" s="12" t="n"/>
      <c r="J44" s="12" t="n"/>
      <c r="K44" s="12" t="n"/>
      <c r="L44" s="13" t="n"/>
      <c r="M44" s="13" t="n"/>
      <c r="N44" s="12" t="n"/>
    </row>
    <row r="45">
      <c r="A45" s="11" t="n"/>
      <c r="B45" s="12" t="n"/>
      <c r="C45" s="13" t="n"/>
      <c r="D45" s="12" t="n"/>
      <c r="E45" s="14">
        <f>IF($A45="","",IFERROR(TEXTJOIN(CHAR(10),TRUE,FILTER('Learning Objectives'!$D:$D,'Learning Objectives'!$A:$A="Beginner",'Learning Objectives'!$B:$B=$A45)),""))</f>
        <v/>
      </c>
      <c r="F45" s="12" t="n"/>
      <c r="G45" s="13" t="n"/>
      <c r="H45" s="13" t="n"/>
      <c r="I45" s="12" t="n"/>
      <c r="J45" s="12" t="n"/>
      <c r="K45" s="12" t="n"/>
      <c r="L45" s="13" t="n"/>
      <c r="M45" s="13" t="n"/>
      <c r="N45" s="12" t="n"/>
    </row>
    <row r="46">
      <c r="A46" s="11" t="n"/>
      <c r="B46" s="12" t="n"/>
      <c r="C46" s="13" t="n"/>
      <c r="D46" s="12" t="n"/>
      <c r="E46" s="14">
        <f>IF($A46="","",IFERROR(TEXTJOIN(CHAR(10),TRUE,FILTER('Learning Objectives'!$D:$D,'Learning Objectives'!$A:$A="Beginner",'Learning Objectives'!$B:$B=$A46)),""))</f>
        <v/>
      </c>
      <c r="F46" s="12" t="n"/>
      <c r="G46" s="13" t="n"/>
      <c r="H46" s="13" t="n"/>
      <c r="I46" s="12" t="n"/>
      <c r="J46" s="12" t="n"/>
      <c r="K46" s="12" t="n"/>
      <c r="L46" s="13" t="n"/>
      <c r="M46" s="13" t="n"/>
      <c r="N46" s="12" t="n"/>
    </row>
    <row r="47">
      <c r="A47" s="11" t="n"/>
      <c r="B47" s="12" t="n"/>
      <c r="C47" s="13" t="n"/>
      <c r="D47" s="12" t="n"/>
      <c r="E47" s="14">
        <f>IF($A47="","",IFERROR(TEXTJOIN(CHAR(10),TRUE,FILTER('Learning Objectives'!$D:$D,'Learning Objectives'!$A:$A="Beginner",'Learning Objectives'!$B:$B=$A47)),""))</f>
        <v/>
      </c>
      <c r="F47" s="12" t="n"/>
      <c r="G47" s="13" t="n"/>
      <c r="H47" s="13" t="n"/>
      <c r="I47" s="12" t="n"/>
      <c r="J47" s="12" t="n"/>
      <c r="K47" s="12" t="n"/>
      <c r="L47" s="13" t="n"/>
      <c r="M47" s="13" t="n"/>
      <c r="N47" s="12" t="n"/>
    </row>
    <row r="48">
      <c r="A48" s="11" t="n"/>
      <c r="B48" s="12" t="n"/>
      <c r="C48" s="13" t="n"/>
      <c r="D48" s="12" t="n"/>
      <c r="E48" s="14">
        <f>IF($A48="","",IFERROR(TEXTJOIN(CHAR(10),TRUE,FILTER('Learning Objectives'!$D:$D,'Learning Objectives'!$A:$A="Beginner",'Learning Objectives'!$B:$B=$A48)),""))</f>
        <v/>
      </c>
      <c r="F48" s="12" t="n"/>
      <c r="G48" s="13" t="n"/>
      <c r="H48" s="13" t="n"/>
      <c r="I48" s="12" t="n"/>
      <c r="J48" s="12" t="n"/>
      <c r="K48" s="12" t="n"/>
      <c r="L48" s="13" t="n"/>
      <c r="M48" s="13" t="n"/>
      <c r="N48" s="12" t="n"/>
    </row>
    <row r="49">
      <c r="A49" s="11" t="n"/>
      <c r="B49" s="12" t="n"/>
      <c r="C49" s="13" t="n"/>
      <c r="D49" s="12" t="n"/>
      <c r="E49" s="14">
        <f>IF($A49="","",IFERROR(TEXTJOIN(CHAR(10),TRUE,FILTER('Learning Objectives'!$D:$D,'Learning Objectives'!$A:$A="Beginner",'Learning Objectives'!$B:$B=$A49)),""))</f>
        <v/>
      </c>
      <c r="F49" s="12" t="n"/>
      <c r="G49" s="13" t="n"/>
      <c r="H49" s="13" t="n"/>
      <c r="I49" s="12" t="n"/>
      <c r="J49" s="12" t="n"/>
      <c r="K49" s="12" t="n"/>
      <c r="L49" s="13" t="n"/>
      <c r="M49" s="13" t="n"/>
      <c r="N49" s="12" t="n"/>
    </row>
    <row r="50">
      <c r="A50" s="11" t="n"/>
      <c r="B50" s="12" t="n"/>
      <c r="C50" s="13" t="n"/>
      <c r="D50" s="12" t="n"/>
      <c r="E50" s="14">
        <f>IF($A50="","",IFERROR(TEXTJOIN(CHAR(10),TRUE,FILTER('Learning Objectives'!$D:$D,'Learning Objectives'!$A:$A="Beginner",'Learning Objectives'!$B:$B=$A50)),""))</f>
        <v/>
      </c>
      <c r="F50" s="12" t="n"/>
      <c r="G50" s="13" t="n"/>
      <c r="H50" s="13" t="n"/>
      <c r="I50" s="12" t="n"/>
      <c r="J50" s="12" t="n"/>
      <c r="K50" s="12" t="n"/>
      <c r="L50" s="13" t="n"/>
      <c r="M50" s="13" t="n"/>
      <c r="N50" s="12" t="n"/>
    </row>
    <row r="51">
      <c r="A51" s="11" t="n"/>
      <c r="B51" s="12" t="n"/>
      <c r="C51" s="13" t="n"/>
      <c r="D51" s="12" t="n"/>
      <c r="E51" s="14">
        <f>IF($A51="","",IFERROR(TEXTJOIN(CHAR(10),TRUE,FILTER('Learning Objectives'!$D:$D,'Learning Objectives'!$A:$A="Beginner",'Learning Objectives'!$B:$B=$A51)),""))</f>
        <v/>
      </c>
      <c r="F51" s="12" t="n"/>
      <c r="G51" s="13" t="n"/>
      <c r="H51" s="13" t="n"/>
      <c r="I51" s="12" t="n"/>
      <c r="J51" s="12" t="n"/>
      <c r="K51" s="12" t="n"/>
      <c r="L51" s="13" t="n"/>
      <c r="M51" s="13" t="n"/>
      <c r="N51" s="12" t="n"/>
    </row>
  </sheetData>
  <autoFilter ref="A1:N1"/>
  <dataValidations count="2">
    <dataValidation sqref="K2:K51" showDropDown="0" showInputMessage="0" showErrorMessage="0" allowBlank="1" error="Pick one of the listed values." type="list">
      <formula1>"Pick the right one,Match things together,Put things in order,Explore and find"</formula1>
    </dataValidation>
    <dataValidation sqref="M2:M51" showDropDown="0" showInputMessage="0" showErrorMessage="1" allowBlank="1" error="Pick one of the listed values." type="list">
      <formula1>"Draft,Ready for Review,Published"</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18" customWidth="1" min="3" max="3"/>
    <col width="62" customWidth="1" min="4" max="4"/>
    <col width="42" customWidth="1" min="5" max="5"/>
    <col width="38" customWidth="1" min="6" max="6"/>
    <col width="20" customWidth="1" min="7" max="7"/>
    <col width="26" customWidth="1" min="8" max="8"/>
    <col width="38" customWidth="1" min="9" max="9"/>
    <col width="38" customWidth="1" min="10" max="10"/>
    <col width="30" customWidth="1" min="11" max="11"/>
    <col width="18" customWidth="1" min="12" max="12"/>
    <col width="18" customWidth="1" min="13" max="13"/>
    <col width="40" customWidth="1" min="14" max="14"/>
  </cols>
  <sheetData>
    <row r="1" ht="42" customHeight="1">
      <c r="A1" s="10" t="inlineStr">
        <is>
          <t>Chapter</t>
        </is>
      </c>
      <c r="B1" s="10" t="inlineStr">
        <is>
          <t>Title</t>
        </is>
      </c>
      <c r="C1" s="10" t="inlineStr">
        <is>
          <t>Bible Reference</t>
        </is>
      </c>
      <c r="D1" s="10" t="inlineStr">
        <is>
          <t>Curriculum</t>
        </is>
      </c>
      <c r="E1" s="10" t="inlineStr">
        <is>
          <t>Learning Objectives</t>
        </is>
      </c>
      <c r="F1" s="10" t="inlineStr">
        <is>
          <t>Memory Verse</t>
        </is>
      </c>
      <c r="G1" s="10" t="inlineStr">
        <is>
          <t>Memory Verse Reference</t>
        </is>
      </c>
      <c r="H1" s="10" t="inlineStr">
        <is>
          <t>Video</t>
        </is>
      </c>
      <c r="I1" s="10" t="inlineStr">
        <is>
          <t>Take Home</t>
        </is>
      </c>
      <c r="J1" s="10" t="inlineStr">
        <is>
          <t>Teaching Notes</t>
        </is>
      </c>
      <c r="K1" s="10" t="inlineStr">
        <is>
          <t>Game Suggestion</t>
        </is>
      </c>
      <c r="L1" s="10" t="inlineStr">
        <is>
          <t>Contributor</t>
        </is>
      </c>
      <c r="M1" s="10" t="inlineStr">
        <is>
          <t>Status</t>
        </is>
      </c>
      <c r="N1" s="10" t="inlineStr">
        <is>
          <t>Notes</t>
        </is>
      </c>
    </row>
    <row r="2">
      <c r="A2" s="11" t="n"/>
      <c r="B2" s="12" t="n"/>
      <c r="C2" s="13" t="n"/>
      <c r="D2" s="12" t="n"/>
      <c r="E2" s="14">
        <f>IF($A2="","",IFERROR(TEXTJOIN(CHAR(10),TRUE,FILTER('Learning Objectives'!$D:$D,'Learning Objectives'!$A:$A="Primary",'Learning Objectives'!$B:$B=$A2)),""))</f>
        <v/>
      </c>
      <c r="F2" s="12" t="n"/>
      <c r="G2" s="13" t="n"/>
      <c r="H2" s="13" t="n"/>
      <c r="I2" s="12" t="n"/>
      <c r="J2" s="12" t="n"/>
      <c r="K2" s="12" t="n"/>
      <c r="L2" s="13" t="n"/>
      <c r="M2" s="13" t="n"/>
      <c r="N2" s="12" t="n"/>
    </row>
    <row r="3">
      <c r="A3" s="11" t="n"/>
      <c r="B3" s="12" t="n"/>
      <c r="C3" s="13" t="n"/>
      <c r="D3" s="12" t="n"/>
      <c r="E3" s="14">
        <f>IF($A3="","",IFERROR(TEXTJOIN(CHAR(10),TRUE,FILTER('Learning Objectives'!$D:$D,'Learning Objectives'!$A:$A="Primary",'Learning Objectives'!$B:$B=$A3)),""))</f>
        <v/>
      </c>
      <c r="F3" s="12" t="n"/>
      <c r="G3" s="13" t="n"/>
      <c r="H3" s="13" t="n"/>
      <c r="I3" s="12" t="n"/>
      <c r="J3" s="12" t="n"/>
      <c r="K3" s="12" t="n"/>
      <c r="L3" s="13" t="n"/>
      <c r="M3" s="13" t="n"/>
      <c r="N3" s="12" t="n"/>
    </row>
    <row r="4">
      <c r="A4" s="11" t="n"/>
      <c r="B4" s="12" t="n"/>
      <c r="C4" s="13" t="n"/>
      <c r="D4" s="12" t="n"/>
      <c r="E4" s="14">
        <f>IF($A4="","",IFERROR(TEXTJOIN(CHAR(10),TRUE,FILTER('Learning Objectives'!$D:$D,'Learning Objectives'!$A:$A="Primary",'Learning Objectives'!$B:$B=$A4)),""))</f>
        <v/>
      </c>
      <c r="F4" s="12" t="n"/>
      <c r="G4" s="13" t="n"/>
      <c r="H4" s="13" t="n"/>
      <c r="I4" s="12" t="n"/>
      <c r="J4" s="12" t="n"/>
      <c r="K4" s="12" t="n"/>
      <c r="L4" s="13" t="n"/>
      <c r="M4" s="13" t="n"/>
      <c r="N4" s="12" t="n"/>
    </row>
    <row r="5">
      <c r="A5" s="11" t="n"/>
      <c r="B5" s="12" t="n"/>
      <c r="C5" s="13" t="n"/>
      <c r="D5" s="12" t="n"/>
      <c r="E5" s="14">
        <f>IF($A5="","",IFERROR(TEXTJOIN(CHAR(10),TRUE,FILTER('Learning Objectives'!$D:$D,'Learning Objectives'!$A:$A="Primary",'Learning Objectives'!$B:$B=$A5)),""))</f>
        <v/>
      </c>
      <c r="F5" s="12" t="n"/>
      <c r="G5" s="13" t="n"/>
      <c r="H5" s="13" t="n"/>
      <c r="I5" s="12" t="n"/>
      <c r="J5" s="12" t="n"/>
      <c r="K5" s="12" t="n"/>
      <c r="L5" s="13" t="n"/>
      <c r="M5" s="13" t="n"/>
      <c r="N5" s="12" t="n"/>
    </row>
    <row r="6">
      <c r="A6" s="11" t="n"/>
      <c r="B6" s="12" t="n"/>
      <c r="C6" s="13" t="n"/>
      <c r="D6" s="12" t="n"/>
      <c r="E6" s="14">
        <f>IF($A6="","",IFERROR(TEXTJOIN(CHAR(10),TRUE,FILTER('Learning Objectives'!$D:$D,'Learning Objectives'!$A:$A="Primary",'Learning Objectives'!$B:$B=$A6)),""))</f>
        <v/>
      </c>
      <c r="F6" s="12" t="n"/>
      <c r="G6" s="13" t="n"/>
      <c r="H6" s="13" t="n"/>
      <c r="I6" s="12" t="n"/>
      <c r="J6" s="12" t="n"/>
      <c r="K6" s="12" t="n"/>
      <c r="L6" s="13" t="n"/>
      <c r="M6" s="13" t="n"/>
      <c r="N6" s="12" t="n"/>
    </row>
    <row r="7">
      <c r="A7" s="11" t="n"/>
      <c r="B7" s="12" t="n"/>
      <c r="C7" s="13" t="n"/>
      <c r="D7" s="12" t="n"/>
      <c r="E7" s="14">
        <f>IF($A7="","",IFERROR(TEXTJOIN(CHAR(10),TRUE,FILTER('Learning Objectives'!$D:$D,'Learning Objectives'!$A:$A="Primary",'Learning Objectives'!$B:$B=$A7)),""))</f>
        <v/>
      </c>
      <c r="F7" s="12" t="n"/>
      <c r="G7" s="13" t="n"/>
      <c r="H7" s="13" t="n"/>
      <c r="I7" s="12" t="n"/>
      <c r="J7" s="12" t="n"/>
      <c r="K7" s="12" t="n"/>
      <c r="L7" s="13" t="n"/>
      <c r="M7" s="13" t="n"/>
      <c r="N7" s="12" t="n"/>
    </row>
    <row r="8">
      <c r="A8" s="11" t="n"/>
      <c r="B8" s="12" t="n"/>
      <c r="C8" s="13" t="n"/>
      <c r="D8" s="12" t="n"/>
      <c r="E8" s="14">
        <f>IF($A8="","",IFERROR(TEXTJOIN(CHAR(10),TRUE,FILTER('Learning Objectives'!$D:$D,'Learning Objectives'!$A:$A="Primary",'Learning Objectives'!$B:$B=$A8)),""))</f>
        <v/>
      </c>
      <c r="F8" s="12" t="n"/>
      <c r="G8" s="13" t="n"/>
      <c r="H8" s="13" t="n"/>
      <c r="I8" s="12" t="n"/>
      <c r="J8" s="12" t="n"/>
      <c r="K8" s="12" t="n"/>
      <c r="L8" s="13" t="n"/>
      <c r="M8" s="13" t="n"/>
      <c r="N8" s="12" t="n"/>
    </row>
    <row r="9">
      <c r="A9" s="11" t="n"/>
      <c r="B9" s="12" t="n"/>
      <c r="C9" s="13" t="n"/>
      <c r="D9" s="12" t="n"/>
      <c r="E9" s="14">
        <f>IF($A9="","",IFERROR(TEXTJOIN(CHAR(10),TRUE,FILTER('Learning Objectives'!$D:$D,'Learning Objectives'!$A:$A="Primary",'Learning Objectives'!$B:$B=$A9)),""))</f>
        <v/>
      </c>
      <c r="F9" s="12" t="n"/>
      <c r="G9" s="13" t="n"/>
      <c r="H9" s="13" t="n"/>
      <c r="I9" s="12" t="n"/>
      <c r="J9" s="12" t="n"/>
      <c r="K9" s="12" t="n"/>
      <c r="L9" s="13" t="n"/>
      <c r="M9" s="13" t="n"/>
      <c r="N9" s="12" t="n"/>
    </row>
    <row r="10">
      <c r="A10" s="11" t="n"/>
      <c r="B10" s="12" t="n"/>
      <c r="C10" s="13" t="n"/>
      <c r="D10" s="12" t="n"/>
      <c r="E10" s="14">
        <f>IF($A10="","",IFERROR(TEXTJOIN(CHAR(10),TRUE,FILTER('Learning Objectives'!$D:$D,'Learning Objectives'!$A:$A="Primary",'Learning Objectives'!$B:$B=$A10)),""))</f>
        <v/>
      </c>
      <c r="F10" s="12" t="n"/>
      <c r="G10" s="13" t="n"/>
      <c r="H10" s="13" t="n"/>
      <c r="I10" s="12" t="n"/>
      <c r="J10" s="12" t="n"/>
      <c r="K10" s="12" t="n"/>
      <c r="L10" s="13" t="n"/>
      <c r="M10" s="13" t="n"/>
      <c r="N10" s="12" t="n"/>
    </row>
    <row r="11">
      <c r="A11" s="11" t="n"/>
      <c r="B11" s="12" t="n"/>
      <c r="C11" s="13" t="n"/>
      <c r="D11" s="12" t="n"/>
      <c r="E11" s="14">
        <f>IF($A11="","",IFERROR(TEXTJOIN(CHAR(10),TRUE,FILTER('Learning Objectives'!$D:$D,'Learning Objectives'!$A:$A="Primary",'Learning Objectives'!$B:$B=$A11)),""))</f>
        <v/>
      </c>
      <c r="F11" s="12" t="n"/>
      <c r="G11" s="13" t="n"/>
      <c r="H11" s="13" t="n"/>
      <c r="I11" s="12" t="n"/>
      <c r="J11" s="12" t="n"/>
      <c r="K11" s="12" t="n"/>
      <c r="L11" s="13" t="n"/>
      <c r="M11" s="13" t="n"/>
      <c r="N11" s="12" t="n"/>
    </row>
    <row r="12">
      <c r="A12" s="11" t="n"/>
      <c r="B12" s="12" t="n"/>
      <c r="C12" s="13" t="n"/>
      <c r="D12" s="12" t="n"/>
      <c r="E12" s="14">
        <f>IF($A12="","",IFERROR(TEXTJOIN(CHAR(10),TRUE,FILTER('Learning Objectives'!$D:$D,'Learning Objectives'!$A:$A="Primary",'Learning Objectives'!$B:$B=$A12)),""))</f>
        <v/>
      </c>
      <c r="F12" s="12" t="n"/>
      <c r="G12" s="13" t="n"/>
      <c r="H12" s="13" t="n"/>
      <c r="I12" s="12" t="n"/>
      <c r="J12" s="12" t="n"/>
      <c r="K12" s="12" t="n"/>
      <c r="L12" s="13" t="n"/>
      <c r="M12" s="13" t="n"/>
      <c r="N12" s="12" t="n"/>
    </row>
    <row r="13">
      <c r="A13" s="11" t="n"/>
      <c r="B13" s="12" t="n"/>
      <c r="C13" s="13" t="n"/>
      <c r="D13" s="12" t="n"/>
      <c r="E13" s="14">
        <f>IF($A13="","",IFERROR(TEXTJOIN(CHAR(10),TRUE,FILTER('Learning Objectives'!$D:$D,'Learning Objectives'!$A:$A="Primary",'Learning Objectives'!$B:$B=$A13)),""))</f>
        <v/>
      </c>
      <c r="F13" s="12" t="n"/>
      <c r="G13" s="13" t="n"/>
      <c r="H13" s="13" t="n"/>
      <c r="I13" s="12" t="n"/>
      <c r="J13" s="12" t="n"/>
      <c r="K13" s="12" t="n"/>
      <c r="L13" s="13" t="n"/>
      <c r="M13" s="13" t="n"/>
      <c r="N13" s="12" t="n"/>
    </row>
    <row r="14">
      <c r="A14" s="11" t="n"/>
      <c r="B14" s="12" t="n"/>
      <c r="C14" s="13" t="n"/>
      <c r="D14" s="12" t="n"/>
      <c r="E14" s="14">
        <f>IF($A14="","",IFERROR(TEXTJOIN(CHAR(10),TRUE,FILTER('Learning Objectives'!$D:$D,'Learning Objectives'!$A:$A="Primary",'Learning Objectives'!$B:$B=$A14)),""))</f>
        <v/>
      </c>
      <c r="F14" s="12" t="n"/>
      <c r="G14" s="13" t="n"/>
      <c r="H14" s="13" t="n"/>
      <c r="I14" s="12" t="n"/>
      <c r="J14" s="12" t="n"/>
      <c r="K14" s="12" t="n"/>
      <c r="L14" s="13" t="n"/>
      <c r="M14" s="13" t="n"/>
      <c r="N14" s="12" t="n"/>
    </row>
    <row r="15">
      <c r="A15" s="11" t="n"/>
      <c r="B15" s="12" t="n"/>
      <c r="C15" s="13" t="n"/>
      <c r="D15" s="12" t="n"/>
      <c r="E15" s="14">
        <f>IF($A15="","",IFERROR(TEXTJOIN(CHAR(10),TRUE,FILTER('Learning Objectives'!$D:$D,'Learning Objectives'!$A:$A="Primary",'Learning Objectives'!$B:$B=$A15)),""))</f>
        <v/>
      </c>
      <c r="F15" s="12" t="n"/>
      <c r="G15" s="13" t="n"/>
      <c r="H15" s="13" t="n"/>
      <c r="I15" s="12" t="n"/>
      <c r="J15" s="12" t="n"/>
      <c r="K15" s="12" t="n"/>
      <c r="L15" s="13" t="n"/>
      <c r="M15" s="13" t="n"/>
      <c r="N15" s="12" t="n"/>
    </row>
    <row r="16">
      <c r="A16" s="11" t="n"/>
      <c r="B16" s="12" t="n"/>
      <c r="C16" s="13" t="n"/>
      <c r="D16" s="12" t="n"/>
      <c r="E16" s="14">
        <f>IF($A16="","",IFERROR(TEXTJOIN(CHAR(10),TRUE,FILTER('Learning Objectives'!$D:$D,'Learning Objectives'!$A:$A="Primary",'Learning Objectives'!$B:$B=$A16)),""))</f>
        <v/>
      </c>
      <c r="F16" s="12" t="n"/>
      <c r="G16" s="13" t="n"/>
      <c r="H16" s="13" t="n"/>
      <c r="I16" s="12" t="n"/>
      <c r="J16" s="12" t="n"/>
      <c r="K16" s="12" t="n"/>
      <c r="L16" s="13" t="n"/>
      <c r="M16" s="13" t="n"/>
      <c r="N16" s="12" t="n"/>
    </row>
    <row r="17">
      <c r="A17" s="11" t="n"/>
      <c r="B17" s="12" t="n"/>
      <c r="C17" s="13" t="n"/>
      <c r="D17" s="12" t="n"/>
      <c r="E17" s="14">
        <f>IF($A17="","",IFERROR(TEXTJOIN(CHAR(10),TRUE,FILTER('Learning Objectives'!$D:$D,'Learning Objectives'!$A:$A="Primary",'Learning Objectives'!$B:$B=$A17)),""))</f>
        <v/>
      </c>
      <c r="F17" s="12" t="n"/>
      <c r="G17" s="13" t="n"/>
      <c r="H17" s="13" t="n"/>
      <c r="I17" s="12" t="n"/>
      <c r="J17" s="12" t="n"/>
      <c r="K17" s="12" t="n"/>
      <c r="L17" s="13" t="n"/>
      <c r="M17" s="13" t="n"/>
      <c r="N17" s="12" t="n"/>
    </row>
    <row r="18">
      <c r="A18" s="11" t="n"/>
      <c r="B18" s="12" t="n"/>
      <c r="C18" s="13" t="n"/>
      <c r="D18" s="12" t="n"/>
      <c r="E18" s="14">
        <f>IF($A18="","",IFERROR(TEXTJOIN(CHAR(10),TRUE,FILTER('Learning Objectives'!$D:$D,'Learning Objectives'!$A:$A="Primary",'Learning Objectives'!$B:$B=$A18)),""))</f>
        <v/>
      </c>
      <c r="F18" s="12" t="n"/>
      <c r="G18" s="13" t="n"/>
      <c r="H18" s="13" t="n"/>
      <c r="I18" s="12" t="n"/>
      <c r="J18" s="12" t="n"/>
      <c r="K18" s="12" t="n"/>
      <c r="L18" s="13" t="n"/>
      <c r="M18" s="13" t="n"/>
      <c r="N18" s="12" t="n"/>
    </row>
    <row r="19">
      <c r="A19" s="11" t="n"/>
      <c r="B19" s="12" t="n"/>
      <c r="C19" s="13" t="n"/>
      <c r="D19" s="12" t="n"/>
      <c r="E19" s="14">
        <f>IF($A19="","",IFERROR(TEXTJOIN(CHAR(10),TRUE,FILTER('Learning Objectives'!$D:$D,'Learning Objectives'!$A:$A="Primary",'Learning Objectives'!$B:$B=$A19)),""))</f>
        <v/>
      </c>
      <c r="F19" s="12" t="n"/>
      <c r="G19" s="13" t="n"/>
      <c r="H19" s="13" t="n"/>
      <c r="I19" s="12" t="n"/>
      <c r="J19" s="12" t="n"/>
      <c r="K19" s="12" t="n"/>
      <c r="L19" s="13" t="n"/>
      <c r="M19" s="13" t="n"/>
      <c r="N19" s="12" t="n"/>
    </row>
    <row r="20">
      <c r="A20" s="11" t="n"/>
      <c r="B20" s="12" t="n"/>
      <c r="C20" s="13" t="n"/>
      <c r="D20" s="12" t="n"/>
      <c r="E20" s="14">
        <f>IF($A20="","",IFERROR(TEXTJOIN(CHAR(10),TRUE,FILTER('Learning Objectives'!$D:$D,'Learning Objectives'!$A:$A="Primary",'Learning Objectives'!$B:$B=$A20)),""))</f>
        <v/>
      </c>
      <c r="F20" s="12" t="n"/>
      <c r="G20" s="13" t="n"/>
      <c r="H20" s="13" t="n"/>
      <c r="I20" s="12" t="n"/>
      <c r="J20" s="12" t="n"/>
      <c r="K20" s="12" t="n"/>
      <c r="L20" s="13" t="n"/>
      <c r="M20" s="13" t="n"/>
      <c r="N20" s="12" t="n"/>
    </row>
    <row r="21">
      <c r="A21" s="11" t="n"/>
      <c r="B21" s="12" t="n"/>
      <c r="C21" s="13" t="n"/>
      <c r="D21" s="12" t="n"/>
      <c r="E21" s="14">
        <f>IF($A21="","",IFERROR(TEXTJOIN(CHAR(10),TRUE,FILTER('Learning Objectives'!$D:$D,'Learning Objectives'!$A:$A="Primary",'Learning Objectives'!$B:$B=$A21)),""))</f>
        <v/>
      </c>
      <c r="F21" s="12" t="n"/>
      <c r="G21" s="13" t="n"/>
      <c r="H21" s="13" t="n"/>
      <c r="I21" s="12" t="n"/>
      <c r="J21" s="12" t="n"/>
      <c r="K21" s="12" t="n"/>
      <c r="L21" s="13" t="n"/>
      <c r="M21" s="13" t="n"/>
      <c r="N21" s="12" t="n"/>
    </row>
    <row r="22">
      <c r="A22" s="11" t="n"/>
      <c r="B22" s="12" t="n"/>
      <c r="C22" s="13" t="n"/>
      <c r="D22" s="12" t="n"/>
      <c r="E22" s="14">
        <f>IF($A22="","",IFERROR(TEXTJOIN(CHAR(10),TRUE,FILTER('Learning Objectives'!$D:$D,'Learning Objectives'!$A:$A="Primary",'Learning Objectives'!$B:$B=$A22)),""))</f>
        <v/>
      </c>
      <c r="F22" s="12" t="n"/>
      <c r="G22" s="13" t="n"/>
      <c r="H22" s="13" t="n"/>
      <c r="I22" s="12" t="n"/>
      <c r="J22" s="12" t="n"/>
      <c r="K22" s="12" t="n"/>
      <c r="L22" s="13" t="n"/>
      <c r="M22" s="13" t="n"/>
      <c r="N22" s="12" t="n"/>
    </row>
    <row r="23">
      <c r="A23" s="11" t="n"/>
      <c r="B23" s="12" t="n"/>
      <c r="C23" s="13" t="n"/>
      <c r="D23" s="12" t="n"/>
      <c r="E23" s="14">
        <f>IF($A23="","",IFERROR(TEXTJOIN(CHAR(10),TRUE,FILTER('Learning Objectives'!$D:$D,'Learning Objectives'!$A:$A="Primary",'Learning Objectives'!$B:$B=$A23)),""))</f>
        <v/>
      </c>
      <c r="F23" s="12" t="n"/>
      <c r="G23" s="13" t="n"/>
      <c r="H23" s="13" t="n"/>
      <c r="I23" s="12" t="n"/>
      <c r="J23" s="12" t="n"/>
      <c r="K23" s="12" t="n"/>
      <c r="L23" s="13" t="n"/>
      <c r="M23" s="13" t="n"/>
      <c r="N23" s="12" t="n"/>
    </row>
    <row r="24">
      <c r="A24" s="11" t="n"/>
      <c r="B24" s="12" t="n"/>
      <c r="C24" s="13" t="n"/>
      <c r="D24" s="12" t="n"/>
      <c r="E24" s="14">
        <f>IF($A24="","",IFERROR(TEXTJOIN(CHAR(10),TRUE,FILTER('Learning Objectives'!$D:$D,'Learning Objectives'!$A:$A="Primary",'Learning Objectives'!$B:$B=$A24)),""))</f>
        <v/>
      </c>
      <c r="F24" s="12" t="n"/>
      <c r="G24" s="13" t="n"/>
      <c r="H24" s="13" t="n"/>
      <c r="I24" s="12" t="n"/>
      <c r="J24" s="12" t="n"/>
      <c r="K24" s="12" t="n"/>
      <c r="L24" s="13" t="n"/>
      <c r="M24" s="13" t="n"/>
      <c r="N24" s="12" t="n"/>
    </row>
    <row r="25">
      <c r="A25" s="11" t="n"/>
      <c r="B25" s="12" t="n"/>
      <c r="C25" s="13" t="n"/>
      <c r="D25" s="12" t="n"/>
      <c r="E25" s="14">
        <f>IF($A25="","",IFERROR(TEXTJOIN(CHAR(10),TRUE,FILTER('Learning Objectives'!$D:$D,'Learning Objectives'!$A:$A="Primary",'Learning Objectives'!$B:$B=$A25)),""))</f>
        <v/>
      </c>
      <c r="F25" s="12" t="n"/>
      <c r="G25" s="13" t="n"/>
      <c r="H25" s="13" t="n"/>
      <c r="I25" s="12" t="n"/>
      <c r="J25" s="12" t="n"/>
      <c r="K25" s="12" t="n"/>
      <c r="L25" s="13" t="n"/>
      <c r="M25" s="13" t="n"/>
      <c r="N25" s="12" t="n"/>
    </row>
    <row r="26">
      <c r="A26" s="11" t="n"/>
      <c r="B26" s="12" t="n"/>
      <c r="C26" s="13" t="n"/>
      <c r="D26" s="12" t="n"/>
      <c r="E26" s="14">
        <f>IF($A26="","",IFERROR(TEXTJOIN(CHAR(10),TRUE,FILTER('Learning Objectives'!$D:$D,'Learning Objectives'!$A:$A="Primary",'Learning Objectives'!$B:$B=$A26)),""))</f>
        <v/>
      </c>
      <c r="F26" s="12" t="n"/>
      <c r="G26" s="13" t="n"/>
      <c r="H26" s="13" t="n"/>
      <c r="I26" s="12" t="n"/>
      <c r="J26" s="12" t="n"/>
      <c r="K26" s="12" t="n"/>
      <c r="L26" s="13" t="n"/>
      <c r="M26" s="13" t="n"/>
      <c r="N26" s="12" t="n"/>
    </row>
    <row r="27">
      <c r="A27" s="11" t="n"/>
      <c r="B27" s="12" t="n"/>
      <c r="C27" s="13" t="n"/>
      <c r="D27" s="12" t="n"/>
      <c r="E27" s="14">
        <f>IF($A27="","",IFERROR(TEXTJOIN(CHAR(10),TRUE,FILTER('Learning Objectives'!$D:$D,'Learning Objectives'!$A:$A="Primary",'Learning Objectives'!$B:$B=$A27)),""))</f>
        <v/>
      </c>
      <c r="F27" s="12" t="n"/>
      <c r="G27" s="13" t="n"/>
      <c r="H27" s="13" t="n"/>
      <c r="I27" s="12" t="n"/>
      <c r="J27" s="12" t="n"/>
      <c r="K27" s="12" t="n"/>
      <c r="L27" s="13" t="n"/>
      <c r="M27" s="13" t="n"/>
      <c r="N27" s="12" t="n"/>
    </row>
    <row r="28">
      <c r="A28" s="11" t="n"/>
      <c r="B28" s="12" t="n"/>
      <c r="C28" s="13" t="n"/>
      <c r="D28" s="12" t="n"/>
      <c r="E28" s="14">
        <f>IF($A28="","",IFERROR(TEXTJOIN(CHAR(10),TRUE,FILTER('Learning Objectives'!$D:$D,'Learning Objectives'!$A:$A="Primary",'Learning Objectives'!$B:$B=$A28)),""))</f>
        <v/>
      </c>
      <c r="F28" s="12" t="n"/>
      <c r="G28" s="13" t="n"/>
      <c r="H28" s="13" t="n"/>
      <c r="I28" s="12" t="n"/>
      <c r="J28" s="12" t="n"/>
      <c r="K28" s="12" t="n"/>
      <c r="L28" s="13" t="n"/>
      <c r="M28" s="13" t="n"/>
      <c r="N28" s="12" t="n"/>
    </row>
    <row r="29">
      <c r="A29" s="11" t="n"/>
      <c r="B29" s="12" t="n"/>
      <c r="C29" s="13" t="n"/>
      <c r="D29" s="12" t="n"/>
      <c r="E29" s="14">
        <f>IF($A29="","",IFERROR(TEXTJOIN(CHAR(10),TRUE,FILTER('Learning Objectives'!$D:$D,'Learning Objectives'!$A:$A="Primary",'Learning Objectives'!$B:$B=$A29)),""))</f>
        <v/>
      </c>
      <c r="F29" s="12" t="n"/>
      <c r="G29" s="13" t="n"/>
      <c r="H29" s="13" t="n"/>
      <c r="I29" s="12" t="n"/>
      <c r="J29" s="12" t="n"/>
      <c r="K29" s="12" t="n"/>
      <c r="L29" s="13" t="n"/>
      <c r="M29" s="13" t="n"/>
      <c r="N29" s="12" t="n"/>
    </row>
    <row r="30">
      <c r="A30" s="11" t="n"/>
      <c r="B30" s="12" t="n"/>
      <c r="C30" s="13" t="n"/>
      <c r="D30" s="12" t="n"/>
      <c r="E30" s="14">
        <f>IF($A30="","",IFERROR(TEXTJOIN(CHAR(10),TRUE,FILTER('Learning Objectives'!$D:$D,'Learning Objectives'!$A:$A="Primary",'Learning Objectives'!$B:$B=$A30)),""))</f>
        <v/>
      </c>
      <c r="F30" s="12" t="n"/>
      <c r="G30" s="13" t="n"/>
      <c r="H30" s="13" t="n"/>
      <c r="I30" s="12" t="n"/>
      <c r="J30" s="12" t="n"/>
      <c r="K30" s="12" t="n"/>
      <c r="L30" s="13" t="n"/>
      <c r="M30" s="13" t="n"/>
      <c r="N30" s="12" t="n"/>
    </row>
    <row r="31">
      <c r="A31" s="11" t="n"/>
      <c r="B31" s="12" t="n"/>
      <c r="C31" s="13" t="n"/>
      <c r="D31" s="12" t="n"/>
      <c r="E31" s="14">
        <f>IF($A31="","",IFERROR(TEXTJOIN(CHAR(10),TRUE,FILTER('Learning Objectives'!$D:$D,'Learning Objectives'!$A:$A="Primary",'Learning Objectives'!$B:$B=$A31)),""))</f>
        <v/>
      </c>
      <c r="F31" s="12" t="n"/>
      <c r="G31" s="13" t="n"/>
      <c r="H31" s="13" t="n"/>
      <c r="I31" s="12" t="n"/>
      <c r="J31" s="12" t="n"/>
      <c r="K31" s="12" t="n"/>
      <c r="L31" s="13" t="n"/>
      <c r="M31" s="13" t="n"/>
      <c r="N31" s="12" t="n"/>
    </row>
    <row r="32">
      <c r="A32" s="11" t="n"/>
      <c r="B32" s="12" t="n"/>
      <c r="C32" s="13" t="n"/>
      <c r="D32" s="12" t="n"/>
      <c r="E32" s="14">
        <f>IF($A32="","",IFERROR(TEXTJOIN(CHAR(10),TRUE,FILTER('Learning Objectives'!$D:$D,'Learning Objectives'!$A:$A="Primary",'Learning Objectives'!$B:$B=$A32)),""))</f>
        <v/>
      </c>
      <c r="F32" s="12" t="n"/>
      <c r="G32" s="13" t="n"/>
      <c r="H32" s="13" t="n"/>
      <c r="I32" s="12" t="n"/>
      <c r="J32" s="12" t="n"/>
      <c r="K32" s="12" t="n"/>
      <c r="L32" s="13" t="n"/>
      <c r="M32" s="13" t="n"/>
      <c r="N32" s="12" t="n"/>
    </row>
    <row r="33">
      <c r="A33" s="11" t="n"/>
      <c r="B33" s="12" t="n"/>
      <c r="C33" s="13" t="n"/>
      <c r="D33" s="12" t="n"/>
      <c r="E33" s="14">
        <f>IF($A33="","",IFERROR(TEXTJOIN(CHAR(10),TRUE,FILTER('Learning Objectives'!$D:$D,'Learning Objectives'!$A:$A="Primary",'Learning Objectives'!$B:$B=$A33)),""))</f>
        <v/>
      </c>
      <c r="F33" s="12" t="n"/>
      <c r="G33" s="13" t="n"/>
      <c r="H33" s="13" t="n"/>
      <c r="I33" s="12" t="n"/>
      <c r="J33" s="12" t="n"/>
      <c r="K33" s="12" t="n"/>
      <c r="L33" s="13" t="n"/>
      <c r="M33" s="13" t="n"/>
      <c r="N33" s="12" t="n"/>
    </row>
    <row r="34">
      <c r="A34" s="11" t="n"/>
      <c r="B34" s="12" t="n"/>
      <c r="C34" s="13" t="n"/>
      <c r="D34" s="12" t="n"/>
      <c r="E34" s="14">
        <f>IF($A34="","",IFERROR(TEXTJOIN(CHAR(10),TRUE,FILTER('Learning Objectives'!$D:$D,'Learning Objectives'!$A:$A="Primary",'Learning Objectives'!$B:$B=$A34)),""))</f>
        <v/>
      </c>
      <c r="F34" s="12" t="n"/>
      <c r="G34" s="13" t="n"/>
      <c r="H34" s="13" t="n"/>
      <c r="I34" s="12" t="n"/>
      <c r="J34" s="12" t="n"/>
      <c r="K34" s="12" t="n"/>
      <c r="L34" s="13" t="n"/>
      <c r="M34" s="13" t="n"/>
      <c r="N34" s="12" t="n"/>
    </row>
    <row r="35">
      <c r="A35" s="11" t="n"/>
      <c r="B35" s="12" t="n"/>
      <c r="C35" s="13" t="n"/>
      <c r="D35" s="12" t="n"/>
      <c r="E35" s="14">
        <f>IF($A35="","",IFERROR(TEXTJOIN(CHAR(10),TRUE,FILTER('Learning Objectives'!$D:$D,'Learning Objectives'!$A:$A="Primary",'Learning Objectives'!$B:$B=$A35)),""))</f>
        <v/>
      </c>
      <c r="F35" s="12" t="n"/>
      <c r="G35" s="13" t="n"/>
      <c r="H35" s="13" t="n"/>
      <c r="I35" s="12" t="n"/>
      <c r="J35" s="12" t="n"/>
      <c r="K35" s="12" t="n"/>
      <c r="L35" s="13" t="n"/>
      <c r="M35" s="13" t="n"/>
      <c r="N35" s="12" t="n"/>
    </row>
    <row r="36">
      <c r="A36" s="11" t="n"/>
      <c r="B36" s="12" t="n"/>
      <c r="C36" s="13" t="n"/>
      <c r="D36" s="12" t="n"/>
      <c r="E36" s="14">
        <f>IF($A36="","",IFERROR(TEXTJOIN(CHAR(10),TRUE,FILTER('Learning Objectives'!$D:$D,'Learning Objectives'!$A:$A="Primary",'Learning Objectives'!$B:$B=$A36)),""))</f>
        <v/>
      </c>
      <c r="F36" s="12" t="n"/>
      <c r="G36" s="13" t="n"/>
      <c r="H36" s="13" t="n"/>
      <c r="I36" s="12" t="n"/>
      <c r="J36" s="12" t="n"/>
      <c r="K36" s="12" t="n"/>
      <c r="L36" s="13" t="n"/>
      <c r="M36" s="13" t="n"/>
      <c r="N36" s="12" t="n"/>
    </row>
    <row r="37">
      <c r="A37" s="11" t="n"/>
      <c r="B37" s="12" t="n"/>
      <c r="C37" s="13" t="n"/>
      <c r="D37" s="12" t="n"/>
      <c r="E37" s="14">
        <f>IF($A37="","",IFERROR(TEXTJOIN(CHAR(10),TRUE,FILTER('Learning Objectives'!$D:$D,'Learning Objectives'!$A:$A="Primary",'Learning Objectives'!$B:$B=$A37)),""))</f>
        <v/>
      </c>
      <c r="F37" s="12" t="n"/>
      <c r="G37" s="13" t="n"/>
      <c r="H37" s="13" t="n"/>
      <c r="I37" s="12" t="n"/>
      <c r="J37" s="12" t="n"/>
      <c r="K37" s="12" t="n"/>
      <c r="L37" s="13" t="n"/>
      <c r="M37" s="13" t="n"/>
      <c r="N37" s="12" t="n"/>
    </row>
    <row r="38">
      <c r="A38" s="11" t="n"/>
      <c r="B38" s="12" t="n"/>
      <c r="C38" s="13" t="n"/>
      <c r="D38" s="12" t="n"/>
      <c r="E38" s="14">
        <f>IF($A38="","",IFERROR(TEXTJOIN(CHAR(10),TRUE,FILTER('Learning Objectives'!$D:$D,'Learning Objectives'!$A:$A="Primary",'Learning Objectives'!$B:$B=$A38)),""))</f>
        <v/>
      </c>
      <c r="F38" s="12" t="n"/>
      <c r="G38" s="13" t="n"/>
      <c r="H38" s="13" t="n"/>
      <c r="I38" s="12" t="n"/>
      <c r="J38" s="12" t="n"/>
      <c r="K38" s="12" t="n"/>
      <c r="L38" s="13" t="n"/>
      <c r="M38" s="13" t="n"/>
      <c r="N38" s="12" t="n"/>
    </row>
    <row r="39">
      <c r="A39" s="11" t="n"/>
      <c r="B39" s="12" t="n"/>
      <c r="C39" s="13" t="n"/>
      <c r="D39" s="12" t="n"/>
      <c r="E39" s="14">
        <f>IF($A39="","",IFERROR(TEXTJOIN(CHAR(10),TRUE,FILTER('Learning Objectives'!$D:$D,'Learning Objectives'!$A:$A="Primary",'Learning Objectives'!$B:$B=$A39)),""))</f>
        <v/>
      </c>
      <c r="F39" s="12" t="n"/>
      <c r="G39" s="13" t="n"/>
      <c r="H39" s="13" t="n"/>
      <c r="I39" s="12" t="n"/>
      <c r="J39" s="12" t="n"/>
      <c r="K39" s="12" t="n"/>
      <c r="L39" s="13" t="n"/>
      <c r="M39" s="13" t="n"/>
      <c r="N39" s="12" t="n"/>
    </row>
    <row r="40">
      <c r="A40" s="11" t="n"/>
      <c r="B40" s="12" t="n"/>
      <c r="C40" s="13" t="n"/>
      <c r="D40" s="12" t="n"/>
      <c r="E40" s="14">
        <f>IF($A40="","",IFERROR(TEXTJOIN(CHAR(10),TRUE,FILTER('Learning Objectives'!$D:$D,'Learning Objectives'!$A:$A="Primary",'Learning Objectives'!$B:$B=$A40)),""))</f>
        <v/>
      </c>
      <c r="F40" s="12" t="n"/>
      <c r="G40" s="13" t="n"/>
      <c r="H40" s="13" t="n"/>
      <c r="I40" s="12" t="n"/>
      <c r="J40" s="12" t="n"/>
      <c r="K40" s="12" t="n"/>
      <c r="L40" s="13" t="n"/>
      <c r="M40" s="13" t="n"/>
      <c r="N40" s="12" t="n"/>
    </row>
    <row r="41">
      <c r="A41" s="11" t="n"/>
      <c r="B41" s="12" t="n"/>
      <c r="C41" s="13" t="n"/>
      <c r="D41" s="12" t="n"/>
      <c r="E41" s="14">
        <f>IF($A41="","",IFERROR(TEXTJOIN(CHAR(10),TRUE,FILTER('Learning Objectives'!$D:$D,'Learning Objectives'!$A:$A="Primary",'Learning Objectives'!$B:$B=$A41)),""))</f>
        <v/>
      </c>
      <c r="F41" s="12" t="n"/>
      <c r="G41" s="13" t="n"/>
      <c r="H41" s="13" t="n"/>
      <c r="I41" s="12" t="n"/>
      <c r="J41" s="12" t="n"/>
      <c r="K41" s="12" t="n"/>
      <c r="L41" s="13" t="n"/>
      <c r="M41" s="13" t="n"/>
      <c r="N41" s="12" t="n"/>
    </row>
    <row r="42">
      <c r="A42" s="11" t="n"/>
      <c r="B42" s="12" t="n"/>
      <c r="C42" s="13" t="n"/>
      <c r="D42" s="12" t="n"/>
      <c r="E42" s="14">
        <f>IF($A42="","",IFERROR(TEXTJOIN(CHAR(10),TRUE,FILTER('Learning Objectives'!$D:$D,'Learning Objectives'!$A:$A="Primary",'Learning Objectives'!$B:$B=$A42)),""))</f>
        <v/>
      </c>
      <c r="F42" s="12" t="n"/>
      <c r="G42" s="13" t="n"/>
      <c r="H42" s="13" t="n"/>
      <c r="I42" s="12" t="n"/>
      <c r="J42" s="12" t="n"/>
      <c r="K42" s="12" t="n"/>
      <c r="L42" s="13" t="n"/>
      <c r="M42" s="13" t="n"/>
      <c r="N42" s="12" t="n"/>
    </row>
    <row r="43">
      <c r="A43" s="11" t="n"/>
      <c r="B43" s="12" t="n"/>
      <c r="C43" s="13" t="n"/>
      <c r="D43" s="12" t="n"/>
      <c r="E43" s="14">
        <f>IF($A43="","",IFERROR(TEXTJOIN(CHAR(10),TRUE,FILTER('Learning Objectives'!$D:$D,'Learning Objectives'!$A:$A="Primary",'Learning Objectives'!$B:$B=$A43)),""))</f>
        <v/>
      </c>
      <c r="F43" s="12" t="n"/>
      <c r="G43" s="13" t="n"/>
      <c r="H43" s="13" t="n"/>
      <c r="I43" s="12" t="n"/>
      <c r="J43" s="12" t="n"/>
      <c r="K43" s="12" t="n"/>
      <c r="L43" s="13" t="n"/>
      <c r="M43" s="13" t="n"/>
      <c r="N43" s="12" t="n"/>
    </row>
    <row r="44">
      <c r="A44" s="11" t="n"/>
      <c r="B44" s="12" t="n"/>
      <c r="C44" s="13" t="n"/>
      <c r="D44" s="12" t="n"/>
      <c r="E44" s="14">
        <f>IF($A44="","",IFERROR(TEXTJOIN(CHAR(10),TRUE,FILTER('Learning Objectives'!$D:$D,'Learning Objectives'!$A:$A="Primary",'Learning Objectives'!$B:$B=$A44)),""))</f>
        <v/>
      </c>
      <c r="F44" s="12" t="n"/>
      <c r="G44" s="13" t="n"/>
      <c r="H44" s="13" t="n"/>
      <c r="I44" s="12" t="n"/>
      <c r="J44" s="12" t="n"/>
      <c r="K44" s="12" t="n"/>
      <c r="L44" s="13" t="n"/>
      <c r="M44" s="13" t="n"/>
      <c r="N44" s="12" t="n"/>
    </row>
    <row r="45">
      <c r="A45" s="11" t="n"/>
      <c r="B45" s="12" t="n"/>
      <c r="C45" s="13" t="n"/>
      <c r="D45" s="12" t="n"/>
      <c r="E45" s="14">
        <f>IF($A45="","",IFERROR(TEXTJOIN(CHAR(10),TRUE,FILTER('Learning Objectives'!$D:$D,'Learning Objectives'!$A:$A="Primary",'Learning Objectives'!$B:$B=$A45)),""))</f>
        <v/>
      </c>
      <c r="F45" s="12" t="n"/>
      <c r="G45" s="13" t="n"/>
      <c r="H45" s="13" t="n"/>
      <c r="I45" s="12" t="n"/>
      <c r="J45" s="12" t="n"/>
      <c r="K45" s="12" t="n"/>
      <c r="L45" s="13" t="n"/>
      <c r="M45" s="13" t="n"/>
      <c r="N45" s="12" t="n"/>
    </row>
    <row r="46">
      <c r="A46" s="11" t="n"/>
      <c r="B46" s="12" t="n"/>
      <c r="C46" s="13" t="n"/>
      <c r="D46" s="12" t="n"/>
      <c r="E46" s="14">
        <f>IF($A46="","",IFERROR(TEXTJOIN(CHAR(10),TRUE,FILTER('Learning Objectives'!$D:$D,'Learning Objectives'!$A:$A="Primary",'Learning Objectives'!$B:$B=$A46)),""))</f>
        <v/>
      </c>
      <c r="F46" s="12" t="n"/>
      <c r="G46" s="13" t="n"/>
      <c r="H46" s="13" t="n"/>
      <c r="I46" s="12" t="n"/>
      <c r="J46" s="12" t="n"/>
      <c r="K46" s="12" t="n"/>
      <c r="L46" s="13" t="n"/>
      <c r="M46" s="13" t="n"/>
      <c r="N46" s="12" t="n"/>
    </row>
    <row r="47">
      <c r="A47" s="11" t="n"/>
      <c r="B47" s="12" t="n"/>
      <c r="C47" s="13" t="n"/>
      <c r="D47" s="12" t="n"/>
      <c r="E47" s="14">
        <f>IF($A47="","",IFERROR(TEXTJOIN(CHAR(10),TRUE,FILTER('Learning Objectives'!$D:$D,'Learning Objectives'!$A:$A="Primary",'Learning Objectives'!$B:$B=$A47)),""))</f>
        <v/>
      </c>
      <c r="F47" s="12" t="n"/>
      <c r="G47" s="13" t="n"/>
      <c r="H47" s="13" t="n"/>
      <c r="I47" s="12" t="n"/>
      <c r="J47" s="12" t="n"/>
      <c r="K47" s="12" t="n"/>
      <c r="L47" s="13" t="n"/>
      <c r="M47" s="13" t="n"/>
      <c r="N47" s="12" t="n"/>
    </row>
    <row r="48">
      <c r="A48" s="11" t="n"/>
      <c r="B48" s="12" t="n"/>
      <c r="C48" s="13" t="n"/>
      <c r="D48" s="12" t="n"/>
      <c r="E48" s="14">
        <f>IF($A48="","",IFERROR(TEXTJOIN(CHAR(10),TRUE,FILTER('Learning Objectives'!$D:$D,'Learning Objectives'!$A:$A="Primary",'Learning Objectives'!$B:$B=$A48)),""))</f>
        <v/>
      </c>
      <c r="F48" s="12" t="n"/>
      <c r="G48" s="13" t="n"/>
      <c r="H48" s="13" t="n"/>
      <c r="I48" s="12" t="n"/>
      <c r="J48" s="12" t="n"/>
      <c r="K48" s="12" t="n"/>
      <c r="L48" s="13" t="n"/>
      <c r="M48" s="13" t="n"/>
      <c r="N48" s="12" t="n"/>
    </row>
    <row r="49">
      <c r="A49" s="11" t="n"/>
      <c r="B49" s="12" t="n"/>
      <c r="C49" s="13" t="n"/>
      <c r="D49" s="12" t="n"/>
      <c r="E49" s="14">
        <f>IF($A49="","",IFERROR(TEXTJOIN(CHAR(10),TRUE,FILTER('Learning Objectives'!$D:$D,'Learning Objectives'!$A:$A="Primary",'Learning Objectives'!$B:$B=$A49)),""))</f>
        <v/>
      </c>
      <c r="F49" s="12" t="n"/>
      <c r="G49" s="13" t="n"/>
      <c r="H49" s="13" t="n"/>
      <c r="I49" s="12" t="n"/>
      <c r="J49" s="12" t="n"/>
      <c r="K49" s="12" t="n"/>
      <c r="L49" s="13" t="n"/>
      <c r="M49" s="13" t="n"/>
      <c r="N49" s="12" t="n"/>
    </row>
    <row r="50">
      <c r="A50" s="11" t="n"/>
      <c r="B50" s="12" t="n"/>
      <c r="C50" s="13" t="n"/>
      <c r="D50" s="12" t="n"/>
      <c r="E50" s="14">
        <f>IF($A50="","",IFERROR(TEXTJOIN(CHAR(10),TRUE,FILTER('Learning Objectives'!$D:$D,'Learning Objectives'!$A:$A="Primary",'Learning Objectives'!$B:$B=$A50)),""))</f>
        <v/>
      </c>
      <c r="F50" s="12" t="n"/>
      <c r="G50" s="13" t="n"/>
      <c r="H50" s="13" t="n"/>
      <c r="I50" s="12" t="n"/>
      <c r="J50" s="12" t="n"/>
      <c r="K50" s="12" t="n"/>
      <c r="L50" s="13" t="n"/>
      <c r="M50" s="13" t="n"/>
      <c r="N50" s="12" t="n"/>
    </row>
    <row r="51">
      <c r="A51" s="11" t="n"/>
      <c r="B51" s="12" t="n"/>
      <c r="C51" s="13" t="n"/>
      <c r="D51" s="12" t="n"/>
      <c r="E51" s="14">
        <f>IF($A51="","",IFERROR(TEXTJOIN(CHAR(10),TRUE,FILTER('Learning Objectives'!$D:$D,'Learning Objectives'!$A:$A="Primary",'Learning Objectives'!$B:$B=$A51)),""))</f>
        <v/>
      </c>
      <c r="F51" s="12" t="n"/>
      <c r="G51" s="13" t="n"/>
      <c r="H51" s="13" t="n"/>
      <c r="I51" s="12" t="n"/>
      <c r="J51" s="12" t="n"/>
      <c r="K51" s="12" t="n"/>
      <c r="L51" s="13" t="n"/>
      <c r="M51" s="13" t="n"/>
      <c r="N51" s="12" t="n"/>
    </row>
  </sheetData>
  <autoFilter ref="A1:N1"/>
  <dataValidations count="2">
    <dataValidation sqref="K2:K51" showDropDown="0" showInputMessage="0" showErrorMessage="0" allowBlank="1" error="Pick one of the listed values." type="list">
      <formula1>"Pick the right one,Match things together,Put things in order,Explore and find"</formula1>
    </dataValidation>
    <dataValidation sqref="M2:M51" showDropDown="0" showInputMessage="0" showErrorMessage="1" allowBlank="1" error="Pick one of the listed values." type="list">
      <formula1>"Draft,Ready for Review,Published"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18" customWidth="1" min="3" max="3"/>
    <col width="62" customWidth="1" min="4" max="4"/>
    <col width="42" customWidth="1" min="5" max="5"/>
    <col width="38" customWidth="1" min="6" max="6"/>
    <col width="20" customWidth="1" min="7" max="7"/>
    <col width="26" customWidth="1" min="8" max="8"/>
    <col width="38" customWidth="1" min="9" max="9"/>
    <col width="38" customWidth="1" min="10" max="10"/>
    <col width="30" customWidth="1" min="11" max="11"/>
    <col width="18" customWidth="1" min="12" max="12"/>
    <col width="18" customWidth="1" min="13" max="13"/>
    <col width="40" customWidth="1" min="14" max="14"/>
  </cols>
  <sheetData>
    <row r="1" ht="42" customHeight="1">
      <c r="A1" s="10" t="inlineStr">
        <is>
          <t>Chapter</t>
        </is>
      </c>
      <c r="B1" s="10" t="inlineStr">
        <is>
          <t>Title</t>
        </is>
      </c>
      <c r="C1" s="10" t="inlineStr">
        <is>
          <t>Bible Reference</t>
        </is>
      </c>
      <c r="D1" s="10" t="inlineStr">
        <is>
          <t>Curriculum</t>
        </is>
      </c>
      <c r="E1" s="10" t="inlineStr">
        <is>
          <t>Learning Objectives</t>
        </is>
      </c>
      <c r="F1" s="10" t="inlineStr">
        <is>
          <t>Memory Verse</t>
        </is>
      </c>
      <c r="G1" s="10" t="inlineStr">
        <is>
          <t>Memory Verse Reference</t>
        </is>
      </c>
      <c r="H1" s="10" t="inlineStr">
        <is>
          <t>Video</t>
        </is>
      </c>
      <c r="I1" s="10" t="inlineStr">
        <is>
          <t>Take Home</t>
        </is>
      </c>
      <c r="J1" s="10" t="inlineStr">
        <is>
          <t>Teaching Notes</t>
        </is>
      </c>
      <c r="K1" s="10" t="inlineStr">
        <is>
          <t>Game Suggestion</t>
        </is>
      </c>
      <c r="L1" s="10" t="inlineStr">
        <is>
          <t>Contributor</t>
        </is>
      </c>
      <c r="M1" s="10" t="inlineStr">
        <is>
          <t>Status</t>
        </is>
      </c>
      <c r="N1" s="10" t="inlineStr">
        <is>
          <t>Notes</t>
        </is>
      </c>
    </row>
    <row r="2">
      <c r="A2" s="11" t="n"/>
      <c r="B2" s="12" t="n"/>
      <c r="C2" s="13" t="n"/>
      <c r="D2" s="12" t="n"/>
      <c r="E2" s="14">
        <f>IF($A2="","",IFERROR(TEXTJOIN(CHAR(10),TRUE,FILTER('Learning Objectives'!$D:$D,'Learning Objectives'!$A:$A="Junior",'Learning Objectives'!$B:$B=$A2)),""))</f>
        <v/>
      </c>
      <c r="F2" s="12" t="n"/>
      <c r="G2" s="13" t="n"/>
      <c r="H2" s="13" t="n"/>
      <c r="I2" s="12" t="n"/>
      <c r="J2" s="12" t="n"/>
      <c r="K2" s="12" t="n"/>
      <c r="L2" s="13" t="n"/>
      <c r="M2" s="13" t="n"/>
      <c r="N2" s="12" t="n"/>
    </row>
    <row r="3">
      <c r="A3" s="11" t="n"/>
      <c r="B3" s="12" t="n"/>
      <c r="C3" s="13" t="n"/>
      <c r="D3" s="12" t="n"/>
      <c r="E3" s="14">
        <f>IF($A3="","",IFERROR(TEXTJOIN(CHAR(10),TRUE,FILTER('Learning Objectives'!$D:$D,'Learning Objectives'!$A:$A="Junior",'Learning Objectives'!$B:$B=$A3)),""))</f>
        <v/>
      </c>
      <c r="F3" s="12" t="n"/>
      <c r="G3" s="13" t="n"/>
      <c r="H3" s="13" t="n"/>
      <c r="I3" s="12" t="n"/>
      <c r="J3" s="12" t="n"/>
      <c r="K3" s="12" t="n"/>
      <c r="L3" s="13" t="n"/>
      <c r="M3" s="13" t="n"/>
      <c r="N3" s="12" t="n"/>
    </row>
    <row r="4">
      <c r="A4" s="11" t="n"/>
      <c r="B4" s="12" t="n"/>
      <c r="C4" s="13" t="n"/>
      <c r="D4" s="12" t="n"/>
      <c r="E4" s="14">
        <f>IF($A4="","",IFERROR(TEXTJOIN(CHAR(10),TRUE,FILTER('Learning Objectives'!$D:$D,'Learning Objectives'!$A:$A="Junior",'Learning Objectives'!$B:$B=$A4)),""))</f>
        <v/>
      </c>
      <c r="F4" s="12" t="n"/>
      <c r="G4" s="13" t="n"/>
      <c r="H4" s="13" t="n"/>
      <c r="I4" s="12" t="n"/>
      <c r="J4" s="12" t="n"/>
      <c r="K4" s="12" t="n"/>
      <c r="L4" s="13" t="n"/>
      <c r="M4" s="13" t="n"/>
      <c r="N4" s="12" t="n"/>
    </row>
    <row r="5">
      <c r="A5" s="11" t="n"/>
      <c r="B5" s="12" t="n"/>
      <c r="C5" s="13" t="n"/>
      <c r="D5" s="12" t="n"/>
      <c r="E5" s="14">
        <f>IF($A5="","",IFERROR(TEXTJOIN(CHAR(10),TRUE,FILTER('Learning Objectives'!$D:$D,'Learning Objectives'!$A:$A="Junior",'Learning Objectives'!$B:$B=$A5)),""))</f>
        <v/>
      </c>
      <c r="F5" s="12" t="n"/>
      <c r="G5" s="13" t="n"/>
      <c r="H5" s="13" t="n"/>
      <c r="I5" s="12" t="n"/>
      <c r="J5" s="12" t="n"/>
      <c r="K5" s="12" t="n"/>
      <c r="L5" s="13" t="n"/>
      <c r="M5" s="13" t="n"/>
      <c r="N5" s="12" t="n"/>
    </row>
    <row r="6">
      <c r="A6" s="11" t="n"/>
      <c r="B6" s="12" t="n"/>
      <c r="C6" s="13" t="n"/>
      <c r="D6" s="12" t="n"/>
      <c r="E6" s="14">
        <f>IF($A6="","",IFERROR(TEXTJOIN(CHAR(10),TRUE,FILTER('Learning Objectives'!$D:$D,'Learning Objectives'!$A:$A="Junior",'Learning Objectives'!$B:$B=$A6)),""))</f>
        <v/>
      </c>
      <c r="F6" s="12" t="n"/>
      <c r="G6" s="13" t="n"/>
      <c r="H6" s="13" t="n"/>
      <c r="I6" s="12" t="n"/>
      <c r="J6" s="12" t="n"/>
      <c r="K6" s="12" t="n"/>
      <c r="L6" s="13" t="n"/>
      <c r="M6" s="13" t="n"/>
      <c r="N6" s="12" t="n"/>
    </row>
    <row r="7">
      <c r="A7" s="11" t="n"/>
      <c r="B7" s="12" t="n"/>
      <c r="C7" s="13" t="n"/>
      <c r="D7" s="12" t="n"/>
      <c r="E7" s="14">
        <f>IF($A7="","",IFERROR(TEXTJOIN(CHAR(10),TRUE,FILTER('Learning Objectives'!$D:$D,'Learning Objectives'!$A:$A="Junior",'Learning Objectives'!$B:$B=$A7)),""))</f>
        <v/>
      </c>
      <c r="F7" s="12" t="n"/>
      <c r="G7" s="13" t="n"/>
      <c r="H7" s="13" t="n"/>
      <c r="I7" s="12" t="n"/>
      <c r="J7" s="12" t="n"/>
      <c r="K7" s="12" t="n"/>
      <c r="L7" s="13" t="n"/>
      <c r="M7" s="13" t="n"/>
      <c r="N7" s="12" t="n"/>
    </row>
    <row r="8">
      <c r="A8" s="11" t="n"/>
      <c r="B8" s="12" t="n"/>
      <c r="C8" s="13" t="n"/>
      <c r="D8" s="12" t="n"/>
      <c r="E8" s="14">
        <f>IF($A8="","",IFERROR(TEXTJOIN(CHAR(10),TRUE,FILTER('Learning Objectives'!$D:$D,'Learning Objectives'!$A:$A="Junior",'Learning Objectives'!$B:$B=$A8)),""))</f>
        <v/>
      </c>
      <c r="F8" s="12" t="n"/>
      <c r="G8" s="13" t="n"/>
      <c r="H8" s="13" t="n"/>
      <c r="I8" s="12" t="n"/>
      <c r="J8" s="12" t="n"/>
      <c r="K8" s="12" t="n"/>
      <c r="L8" s="13" t="n"/>
      <c r="M8" s="13" t="n"/>
      <c r="N8" s="12" t="n"/>
    </row>
    <row r="9">
      <c r="A9" s="11" t="n"/>
      <c r="B9" s="12" t="n"/>
      <c r="C9" s="13" t="n"/>
      <c r="D9" s="12" t="n"/>
      <c r="E9" s="14">
        <f>IF($A9="","",IFERROR(TEXTJOIN(CHAR(10),TRUE,FILTER('Learning Objectives'!$D:$D,'Learning Objectives'!$A:$A="Junior",'Learning Objectives'!$B:$B=$A9)),""))</f>
        <v/>
      </c>
      <c r="F9" s="12" t="n"/>
      <c r="G9" s="13" t="n"/>
      <c r="H9" s="13" t="n"/>
      <c r="I9" s="12" t="n"/>
      <c r="J9" s="12" t="n"/>
      <c r="K9" s="12" t="n"/>
      <c r="L9" s="13" t="n"/>
      <c r="M9" s="13" t="n"/>
      <c r="N9" s="12" t="n"/>
    </row>
    <row r="10">
      <c r="A10" s="11" t="n"/>
      <c r="B10" s="12" t="n"/>
      <c r="C10" s="13" t="n"/>
      <c r="D10" s="12" t="n"/>
      <c r="E10" s="14">
        <f>IF($A10="","",IFERROR(TEXTJOIN(CHAR(10),TRUE,FILTER('Learning Objectives'!$D:$D,'Learning Objectives'!$A:$A="Junior",'Learning Objectives'!$B:$B=$A10)),""))</f>
        <v/>
      </c>
      <c r="F10" s="12" t="n"/>
      <c r="G10" s="13" t="n"/>
      <c r="H10" s="13" t="n"/>
      <c r="I10" s="12" t="n"/>
      <c r="J10" s="12" t="n"/>
      <c r="K10" s="12" t="n"/>
      <c r="L10" s="13" t="n"/>
      <c r="M10" s="13" t="n"/>
      <c r="N10" s="12" t="n"/>
    </row>
    <row r="11">
      <c r="A11" s="11" t="n"/>
      <c r="B11" s="12" t="n"/>
      <c r="C11" s="13" t="n"/>
      <c r="D11" s="12" t="n"/>
      <c r="E11" s="14">
        <f>IF($A11="","",IFERROR(TEXTJOIN(CHAR(10),TRUE,FILTER('Learning Objectives'!$D:$D,'Learning Objectives'!$A:$A="Junior",'Learning Objectives'!$B:$B=$A11)),""))</f>
        <v/>
      </c>
      <c r="F11" s="12" t="n"/>
      <c r="G11" s="13" t="n"/>
      <c r="H11" s="13" t="n"/>
      <c r="I11" s="12" t="n"/>
      <c r="J11" s="12" t="n"/>
      <c r="K11" s="12" t="n"/>
      <c r="L11" s="13" t="n"/>
      <c r="M11" s="13" t="n"/>
      <c r="N11" s="12" t="n"/>
    </row>
    <row r="12">
      <c r="A12" s="11" t="n"/>
      <c r="B12" s="12" t="n"/>
      <c r="C12" s="13" t="n"/>
      <c r="D12" s="12" t="n"/>
      <c r="E12" s="14">
        <f>IF($A12="","",IFERROR(TEXTJOIN(CHAR(10),TRUE,FILTER('Learning Objectives'!$D:$D,'Learning Objectives'!$A:$A="Junior",'Learning Objectives'!$B:$B=$A12)),""))</f>
        <v/>
      </c>
      <c r="F12" s="12" t="n"/>
      <c r="G12" s="13" t="n"/>
      <c r="H12" s="13" t="n"/>
      <c r="I12" s="12" t="n"/>
      <c r="J12" s="12" t="n"/>
      <c r="K12" s="12" t="n"/>
      <c r="L12" s="13" t="n"/>
      <c r="M12" s="13" t="n"/>
      <c r="N12" s="12" t="n"/>
    </row>
    <row r="13">
      <c r="A13" s="11" t="n"/>
      <c r="B13" s="12" t="n"/>
      <c r="C13" s="13" t="n"/>
      <c r="D13" s="12" t="n"/>
      <c r="E13" s="14">
        <f>IF($A13="","",IFERROR(TEXTJOIN(CHAR(10),TRUE,FILTER('Learning Objectives'!$D:$D,'Learning Objectives'!$A:$A="Junior",'Learning Objectives'!$B:$B=$A13)),""))</f>
        <v/>
      </c>
      <c r="F13" s="12" t="n"/>
      <c r="G13" s="13" t="n"/>
      <c r="H13" s="13" t="n"/>
      <c r="I13" s="12" t="n"/>
      <c r="J13" s="12" t="n"/>
      <c r="K13" s="12" t="n"/>
      <c r="L13" s="13" t="n"/>
      <c r="M13" s="13" t="n"/>
      <c r="N13" s="12" t="n"/>
    </row>
    <row r="14">
      <c r="A14" s="11" t="n"/>
      <c r="B14" s="12" t="n"/>
      <c r="C14" s="13" t="n"/>
      <c r="D14" s="12" t="n"/>
      <c r="E14" s="14">
        <f>IF($A14="","",IFERROR(TEXTJOIN(CHAR(10),TRUE,FILTER('Learning Objectives'!$D:$D,'Learning Objectives'!$A:$A="Junior",'Learning Objectives'!$B:$B=$A14)),""))</f>
        <v/>
      </c>
      <c r="F14" s="12" t="n"/>
      <c r="G14" s="13" t="n"/>
      <c r="H14" s="13" t="n"/>
      <c r="I14" s="12" t="n"/>
      <c r="J14" s="12" t="n"/>
      <c r="K14" s="12" t="n"/>
      <c r="L14" s="13" t="n"/>
      <c r="M14" s="13" t="n"/>
      <c r="N14" s="12" t="n"/>
    </row>
    <row r="15">
      <c r="A15" s="11" t="n"/>
      <c r="B15" s="12" t="n"/>
      <c r="C15" s="13" t="n"/>
      <c r="D15" s="12" t="n"/>
      <c r="E15" s="14">
        <f>IF($A15="","",IFERROR(TEXTJOIN(CHAR(10),TRUE,FILTER('Learning Objectives'!$D:$D,'Learning Objectives'!$A:$A="Junior",'Learning Objectives'!$B:$B=$A15)),""))</f>
        <v/>
      </c>
      <c r="F15" s="12" t="n"/>
      <c r="G15" s="13" t="n"/>
      <c r="H15" s="13" t="n"/>
      <c r="I15" s="12" t="n"/>
      <c r="J15" s="12" t="n"/>
      <c r="K15" s="12" t="n"/>
      <c r="L15" s="13" t="n"/>
      <c r="M15" s="13" t="n"/>
      <c r="N15" s="12" t="n"/>
    </row>
    <row r="16">
      <c r="A16" s="11" t="n"/>
      <c r="B16" s="12" t="n"/>
      <c r="C16" s="13" t="n"/>
      <c r="D16" s="12" t="n"/>
      <c r="E16" s="14">
        <f>IF($A16="","",IFERROR(TEXTJOIN(CHAR(10),TRUE,FILTER('Learning Objectives'!$D:$D,'Learning Objectives'!$A:$A="Junior",'Learning Objectives'!$B:$B=$A16)),""))</f>
        <v/>
      </c>
      <c r="F16" s="12" t="n"/>
      <c r="G16" s="13" t="n"/>
      <c r="H16" s="13" t="n"/>
      <c r="I16" s="12" t="n"/>
      <c r="J16" s="12" t="n"/>
      <c r="K16" s="12" t="n"/>
      <c r="L16" s="13" t="n"/>
      <c r="M16" s="13" t="n"/>
      <c r="N16" s="12" t="n"/>
    </row>
    <row r="17">
      <c r="A17" s="11" t="n"/>
      <c r="B17" s="12" t="n"/>
      <c r="C17" s="13" t="n"/>
      <c r="D17" s="12" t="n"/>
      <c r="E17" s="14">
        <f>IF($A17="","",IFERROR(TEXTJOIN(CHAR(10),TRUE,FILTER('Learning Objectives'!$D:$D,'Learning Objectives'!$A:$A="Junior",'Learning Objectives'!$B:$B=$A17)),""))</f>
        <v/>
      </c>
      <c r="F17" s="12" t="n"/>
      <c r="G17" s="13" t="n"/>
      <c r="H17" s="13" t="n"/>
      <c r="I17" s="12" t="n"/>
      <c r="J17" s="12" t="n"/>
      <c r="K17" s="12" t="n"/>
      <c r="L17" s="13" t="n"/>
      <c r="M17" s="13" t="n"/>
      <c r="N17" s="12" t="n"/>
    </row>
    <row r="18">
      <c r="A18" s="11" t="n"/>
      <c r="B18" s="12" t="n"/>
      <c r="C18" s="13" t="n"/>
      <c r="D18" s="12" t="n"/>
      <c r="E18" s="14">
        <f>IF($A18="","",IFERROR(TEXTJOIN(CHAR(10),TRUE,FILTER('Learning Objectives'!$D:$D,'Learning Objectives'!$A:$A="Junior",'Learning Objectives'!$B:$B=$A18)),""))</f>
        <v/>
      </c>
      <c r="F18" s="12" t="n"/>
      <c r="G18" s="13" t="n"/>
      <c r="H18" s="13" t="n"/>
      <c r="I18" s="12" t="n"/>
      <c r="J18" s="12" t="n"/>
      <c r="K18" s="12" t="n"/>
      <c r="L18" s="13" t="n"/>
      <c r="M18" s="13" t="n"/>
      <c r="N18" s="12" t="n"/>
    </row>
    <row r="19">
      <c r="A19" s="11" t="n"/>
      <c r="B19" s="12" t="n"/>
      <c r="C19" s="13" t="n"/>
      <c r="D19" s="12" t="n"/>
      <c r="E19" s="14">
        <f>IF($A19="","",IFERROR(TEXTJOIN(CHAR(10),TRUE,FILTER('Learning Objectives'!$D:$D,'Learning Objectives'!$A:$A="Junior",'Learning Objectives'!$B:$B=$A19)),""))</f>
        <v/>
      </c>
      <c r="F19" s="12" t="n"/>
      <c r="G19" s="13" t="n"/>
      <c r="H19" s="13" t="n"/>
      <c r="I19" s="12" t="n"/>
      <c r="J19" s="12" t="n"/>
      <c r="K19" s="12" t="n"/>
      <c r="L19" s="13" t="n"/>
      <c r="M19" s="13" t="n"/>
      <c r="N19" s="12" t="n"/>
    </row>
    <row r="20">
      <c r="A20" s="11" t="n"/>
      <c r="B20" s="12" t="n"/>
      <c r="C20" s="13" t="n"/>
      <c r="D20" s="12" t="n"/>
      <c r="E20" s="14">
        <f>IF($A20="","",IFERROR(TEXTJOIN(CHAR(10),TRUE,FILTER('Learning Objectives'!$D:$D,'Learning Objectives'!$A:$A="Junior",'Learning Objectives'!$B:$B=$A20)),""))</f>
        <v/>
      </c>
      <c r="F20" s="12" t="n"/>
      <c r="G20" s="13" t="n"/>
      <c r="H20" s="13" t="n"/>
      <c r="I20" s="12" t="n"/>
      <c r="J20" s="12" t="n"/>
      <c r="K20" s="12" t="n"/>
      <c r="L20" s="13" t="n"/>
      <c r="M20" s="13" t="n"/>
      <c r="N20" s="12" t="n"/>
    </row>
    <row r="21">
      <c r="A21" s="11" t="n"/>
      <c r="B21" s="12" t="n"/>
      <c r="C21" s="13" t="n"/>
      <c r="D21" s="12" t="n"/>
      <c r="E21" s="14">
        <f>IF($A21="","",IFERROR(TEXTJOIN(CHAR(10),TRUE,FILTER('Learning Objectives'!$D:$D,'Learning Objectives'!$A:$A="Junior",'Learning Objectives'!$B:$B=$A21)),""))</f>
        <v/>
      </c>
      <c r="F21" s="12" t="n"/>
      <c r="G21" s="13" t="n"/>
      <c r="H21" s="13" t="n"/>
      <c r="I21" s="12" t="n"/>
      <c r="J21" s="12" t="n"/>
      <c r="K21" s="12" t="n"/>
      <c r="L21" s="13" t="n"/>
      <c r="M21" s="13" t="n"/>
      <c r="N21" s="12" t="n"/>
    </row>
    <row r="22">
      <c r="A22" s="11" t="n"/>
      <c r="B22" s="12" t="n"/>
      <c r="C22" s="13" t="n"/>
      <c r="D22" s="12" t="n"/>
      <c r="E22" s="14">
        <f>IF($A22="","",IFERROR(TEXTJOIN(CHAR(10),TRUE,FILTER('Learning Objectives'!$D:$D,'Learning Objectives'!$A:$A="Junior",'Learning Objectives'!$B:$B=$A22)),""))</f>
        <v/>
      </c>
      <c r="F22" s="12" t="n"/>
      <c r="G22" s="13" t="n"/>
      <c r="H22" s="13" t="n"/>
      <c r="I22" s="12" t="n"/>
      <c r="J22" s="12" t="n"/>
      <c r="K22" s="12" t="n"/>
      <c r="L22" s="13" t="n"/>
      <c r="M22" s="13" t="n"/>
      <c r="N22" s="12" t="n"/>
    </row>
    <row r="23">
      <c r="A23" s="11" t="n"/>
      <c r="B23" s="12" t="n"/>
      <c r="C23" s="13" t="n"/>
      <c r="D23" s="12" t="n"/>
      <c r="E23" s="14">
        <f>IF($A23="","",IFERROR(TEXTJOIN(CHAR(10),TRUE,FILTER('Learning Objectives'!$D:$D,'Learning Objectives'!$A:$A="Junior",'Learning Objectives'!$B:$B=$A23)),""))</f>
        <v/>
      </c>
      <c r="F23" s="12" t="n"/>
      <c r="G23" s="13" t="n"/>
      <c r="H23" s="13" t="n"/>
      <c r="I23" s="12" t="n"/>
      <c r="J23" s="12" t="n"/>
      <c r="K23" s="12" t="n"/>
      <c r="L23" s="13" t="n"/>
      <c r="M23" s="13" t="n"/>
      <c r="N23" s="12" t="n"/>
    </row>
    <row r="24">
      <c r="A24" s="11" t="n"/>
      <c r="B24" s="12" t="n"/>
      <c r="C24" s="13" t="n"/>
      <c r="D24" s="12" t="n"/>
      <c r="E24" s="14">
        <f>IF($A24="","",IFERROR(TEXTJOIN(CHAR(10),TRUE,FILTER('Learning Objectives'!$D:$D,'Learning Objectives'!$A:$A="Junior",'Learning Objectives'!$B:$B=$A24)),""))</f>
        <v/>
      </c>
      <c r="F24" s="12" t="n"/>
      <c r="G24" s="13" t="n"/>
      <c r="H24" s="13" t="n"/>
      <c r="I24" s="12" t="n"/>
      <c r="J24" s="12" t="n"/>
      <c r="K24" s="12" t="n"/>
      <c r="L24" s="13" t="n"/>
      <c r="M24" s="13" t="n"/>
      <c r="N24" s="12" t="n"/>
    </row>
    <row r="25">
      <c r="A25" s="11" t="n"/>
      <c r="B25" s="12" t="n"/>
      <c r="C25" s="13" t="n"/>
      <c r="D25" s="12" t="n"/>
      <c r="E25" s="14">
        <f>IF($A25="","",IFERROR(TEXTJOIN(CHAR(10),TRUE,FILTER('Learning Objectives'!$D:$D,'Learning Objectives'!$A:$A="Junior",'Learning Objectives'!$B:$B=$A25)),""))</f>
        <v/>
      </c>
      <c r="F25" s="12" t="n"/>
      <c r="G25" s="13" t="n"/>
      <c r="H25" s="13" t="n"/>
      <c r="I25" s="12" t="n"/>
      <c r="J25" s="12" t="n"/>
      <c r="K25" s="12" t="n"/>
      <c r="L25" s="13" t="n"/>
      <c r="M25" s="13" t="n"/>
      <c r="N25" s="12" t="n"/>
    </row>
    <row r="26">
      <c r="A26" s="11" t="n"/>
      <c r="B26" s="12" t="n"/>
      <c r="C26" s="13" t="n"/>
      <c r="D26" s="12" t="n"/>
      <c r="E26" s="14">
        <f>IF($A26="","",IFERROR(TEXTJOIN(CHAR(10),TRUE,FILTER('Learning Objectives'!$D:$D,'Learning Objectives'!$A:$A="Junior",'Learning Objectives'!$B:$B=$A26)),""))</f>
        <v/>
      </c>
      <c r="F26" s="12" t="n"/>
      <c r="G26" s="13" t="n"/>
      <c r="H26" s="13" t="n"/>
      <c r="I26" s="12" t="n"/>
      <c r="J26" s="12" t="n"/>
      <c r="K26" s="12" t="n"/>
      <c r="L26" s="13" t="n"/>
      <c r="M26" s="13" t="n"/>
      <c r="N26" s="12" t="n"/>
    </row>
    <row r="27">
      <c r="A27" s="11" t="n"/>
      <c r="B27" s="12" t="n"/>
      <c r="C27" s="13" t="n"/>
      <c r="D27" s="12" t="n"/>
      <c r="E27" s="14">
        <f>IF($A27="","",IFERROR(TEXTJOIN(CHAR(10),TRUE,FILTER('Learning Objectives'!$D:$D,'Learning Objectives'!$A:$A="Junior",'Learning Objectives'!$B:$B=$A27)),""))</f>
        <v/>
      </c>
      <c r="F27" s="12" t="n"/>
      <c r="G27" s="13" t="n"/>
      <c r="H27" s="13" t="n"/>
      <c r="I27" s="12" t="n"/>
      <c r="J27" s="12" t="n"/>
      <c r="K27" s="12" t="n"/>
      <c r="L27" s="13" t="n"/>
      <c r="M27" s="13" t="n"/>
      <c r="N27" s="12" t="n"/>
    </row>
    <row r="28">
      <c r="A28" s="11" t="n"/>
      <c r="B28" s="12" t="n"/>
      <c r="C28" s="13" t="n"/>
      <c r="D28" s="12" t="n"/>
      <c r="E28" s="14">
        <f>IF($A28="","",IFERROR(TEXTJOIN(CHAR(10),TRUE,FILTER('Learning Objectives'!$D:$D,'Learning Objectives'!$A:$A="Junior",'Learning Objectives'!$B:$B=$A28)),""))</f>
        <v/>
      </c>
      <c r="F28" s="12" t="n"/>
      <c r="G28" s="13" t="n"/>
      <c r="H28" s="13" t="n"/>
      <c r="I28" s="12" t="n"/>
      <c r="J28" s="12" t="n"/>
      <c r="K28" s="12" t="n"/>
      <c r="L28" s="13" t="n"/>
      <c r="M28" s="13" t="n"/>
      <c r="N28" s="12" t="n"/>
    </row>
    <row r="29">
      <c r="A29" s="11" t="n"/>
      <c r="B29" s="12" t="n"/>
      <c r="C29" s="13" t="n"/>
      <c r="D29" s="12" t="n"/>
      <c r="E29" s="14">
        <f>IF($A29="","",IFERROR(TEXTJOIN(CHAR(10),TRUE,FILTER('Learning Objectives'!$D:$D,'Learning Objectives'!$A:$A="Junior",'Learning Objectives'!$B:$B=$A29)),""))</f>
        <v/>
      </c>
      <c r="F29" s="12" t="n"/>
      <c r="G29" s="13" t="n"/>
      <c r="H29" s="13" t="n"/>
      <c r="I29" s="12" t="n"/>
      <c r="J29" s="12" t="n"/>
      <c r="K29" s="12" t="n"/>
      <c r="L29" s="13" t="n"/>
      <c r="M29" s="13" t="n"/>
      <c r="N29" s="12" t="n"/>
    </row>
    <row r="30">
      <c r="A30" s="11" t="n"/>
      <c r="B30" s="12" t="n"/>
      <c r="C30" s="13" t="n"/>
      <c r="D30" s="12" t="n"/>
      <c r="E30" s="14">
        <f>IF($A30="","",IFERROR(TEXTJOIN(CHAR(10),TRUE,FILTER('Learning Objectives'!$D:$D,'Learning Objectives'!$A:$A="Junior",'Learning Objectives'!$B:$B=$A30)),""))</f>
        <v/>
      </c>
      <c r="F30" s="12" t="n"/>
      <c r="G30" s="13" t="n"/>
      <c r="H30" s="13" t="n"/>
      <c r="I30" s="12" t="n"/>
      <c r="J30" s="12" t="n"/>
      <c r="K30" s="12" t="n"/>
      <c r="L30" s="13" t="n"/>
      <c r="M30" s="13" t="n"/>
      <c r="N30" s="12" t="n"/>
    </row>
    <row r="31">
      <c r="A31" s="11" t="n"/>
      <c r="B31" s="12" t="n"/>
      <c r="C31" s="13" t="n"/>
      <c r="D31" s="12" t="n"/>
      <c r="E31" s="14">
        <f>IF($A31="","",IFERROR(TEXTJOIN(CHAR(10),TRUE,FILTER('Learning Objectives'!$D:$D,'Learning Objectives'!$A:$A="Junior",'Learning Objectives'!$B:$B=$A31)),""))</f>
        <v/>
      </c>
      <c r="F31" s="12" t="n"/>
      <c r="G31" s="13" t="n"/>
      <c r="H31" s="13" t="n"/>
      <c r="I31" s="12" t="n"/>
      <c r="J31" s="12" t="n"/>
      <c r="K31" s="12" t="n"/>
      <c r="L31" s="13" t="n"/>
      <c r="M31" s="13" t="n"/>
      <c r="N31" s="12" t="n"/>
    </row>
    <row r="32">
      <c r="A32" s="11" t="n"/>
      <c r="B32" s="12" t="n"/>
      <c r="C32" s="13" t="n"/>
      <c r="D32" s="12" t="n"/>
      <c r="E32" s="14">
        <f>IF($A32="","",IFERROR(TEXTJOIN(CHAR(10),TRUE,FILTER('Learning Objectives'!$D:$D,'Learning Objectives'!$A:$A="Junior",'Learning Objectives'!$B:$B=$A32)),""))</f>
        <v/>
      </c>
      <c r="F32" s="12" t="n"/>
      <c r="G32" s="13" t="n"/>
      <c r="H32" s="13" t="n"/>
      <c r="I32" s="12" t="n"/>
      <c r="J32" s="12" t="n"/>
      <c r="K32" s="12" t="n"/>
      <c r="L32" s="13" t="n"/>
      <c r="M32" s="13" t="n"/>
      <c r="N32" s="12" t="n"/>
    </row>
    <row r="33">
      <c r="A33" s="11" t="n"/>
      <c r="B33" s="12" t="n"/>
      <c r="C33" s="13" t="n"/>
      <c r="D33" s="12" t="n"/>
      <c r="E33" s="14">
        <f>IF($A33="","",IFERROR(TEXTJOIN(CHAR(10),TRUE,FILTER('Learning Objectives'!$D:$D,'Learning Objectives'!$A:$A="Junior",'Learning Objectives'!$B:$B=$A33)),""))</f>
        <v/>
      </c>
      <c r="F33" s="12" t="n"/>
      <c r="G33" s="13" t="n"/>
      <c r="H33" s="13" t="n"/>
      <c r="I33" s="12" t="n"/>
      <c r="J33" s="12" t="n"/>
      <c r="K33" s="12" t="n"/>
      <c r="L33" s="13" t="n"/>
      <c r="M33" s="13" t="n"/>
      <c r="N33" s="12" t="n"/>
    </row>
    <row r="34">
      <c r="A34" s="11" t="n"/>
      <c r="B34" s="12" t="n"/>
      <c r="C34" s="13" t="n"/>
      <c r="D34" s="12" t="n"/>
      <c r="E34" s="14">
        <f>IF($A34="","",IFERROR(TEXTJOIN(CHAR(10),TRUE,FILTER('Learning Objectives'!$D:$D,'Learning Objectives'!$A:$A="Junior",'Learning Objectives'!$B:$B=$A34)),""))</f>
        <v/>
      </c>
      <c r="F34" s="12" t="n"/>
      <c r="G34" s="13" t="n"/>
      <c r="H34" s="13" t="n"/>
      <c r="I34" s="12" t="n"/>
      <c r="J34" s="12" t="n"/>
      <c r="K34" s="12" t="n"/>
      <c r="L34" s="13" t="n"/>
      <c r="M34" s="13" t="n"/>
      <c r="N34" s="12" t="n"/>
    </row>
    <row r="35">
      <c r="A35" s="11" t="n"/>
      <c r="B35" s="12" t="n"/>
      <c r="C35" s="13" t="n"/>
      <c r="D35" s="12" t="n"/>
      <c r="E35" s="14">
        <f>IF($A35="","",IFERROR(TEXTJOIN(CHAR(10),TRUE,FILTER('Learning Objectives'!$D:$D,'Learning Objectives'!$A:$A="Junior",'Learning Objectives'!$B:$B=$A35)),""))</f>
        <v/>
      </c>
      <c r="F35" s="12" t="n"/>
      <c r="G35" s="13" t="n"/>
      <c r="H35" s="13" t="n"/>
      <c r="I35" s="12" t="n"/>
      <c r="J35" s="12" t="n"/>
      <c r="K35" s="12" t="n"/>
      <c r="L35" s="13" t="n"/>
      <c r="M35" s="13" t="n"/>
      <c r="N35" s="12" t="n"/>
    </row>
    <row r="36">
      <c r="A36" s="11" t="n"/>
      <c r="B36" s="12" t="n"/>
      <c r="C36" s="13" t="n"/>
      <c r="D36" s="12" t="n"/>
      <c r="E36" s="14">
        <f>IF($A36="","",IFERROR(TEXTJOIN(CHAR(10),TRUE,FILTER('Learning Objectives'!$D:$D,'Learning Objectives'!$A:$A="Junior",'Learning Objectives'!$B:$B=$A36)),""))</f>
        <v/>
      </c>
      <c r="F36" s="12" t="n"/>
      <c r="G36" s="13" t="n"/>
      <c r="H36" s="13" t="n"/>
      <c r="I36" s="12" t="n"/>
      <c r="J36" s="12" t="n"/>
      <c r="K36" s="12" t="n"/>
      <c r="L36" s="13" t="n"/>
      <c r="M36" s="13" t="n"/>
      <c r="N36" s="12" t="n"/>
    </row>
    <row r="37">
      <c r="A37" s="11" t="n"/>
      <c r="B37" s="12" t="n"/>
      <c r="C37" s="13" t="n"/>
      <c r="D37" s="12" t="n"/>
      <c r="E37" s="14">
        <f>IF($A37="","",IFERROR(TEXTJOIN(CHAR(10),TRUE,FILTER('Learning Objectives'!$D:$D,'Learning Objectives'!$A:$A="Junior",'Learning Objectives'!$B:$B=$A37)),""))</f>
        <v/>
      </c>
      <c r="F37" s="12" t="n"/>
      <c r="G37" s="13" t="n"/>
      <c r="H37" s="13" t="n"/>
      <c r="I37" s="12" t="n"/>
      <c r="J37" s="12" t="n"/>
      <c r="K37" s="12" t="n"/>
      <c r="L37" s="13" t="n"/>
      <c r="M37" s="13" t="n"/>
      <c r="N37" s="12" t="n"/>
    </row>
    <row r="38">
      <c r="A38" s="11" t="n"/>
      <c r="B38" s="12" t="n"/>
      <c r="C38" s="13" t="n"/>
      <c r="D38" s="12" t="n"/>
      <c r="E38" s="14">
        <f>IF($A38="","",IFERROR(TEXTJOIN(CHAR(10),TRUE,FILTER('Learning Objectives'!$D:$D,'Learning Objectives'!$A:$A="Junior",'Learning Objectives'!$B:$B=$A38)),""))</f>
        <v/>
      </c>
      <c r="F38" s="12" t="n"/>
      <c r="G38" s="13" t="n"/>
      <c r="H38" s="13" t="n"/>
      <c r="I38" s="12" t="n"/>
      <c r="J38" s="12" t="n"/>
      <c r="K38" s="12" t="n"/>
      <c r="L38" s="13" t="n"/>
      <c r="M38" s="13" t="n"/>
      <c r="N38" s="12" t="n"/>
    </row>
    <row r="39">
      <c r="A39" s="11" t="n"/>
      <c r="B39" s="12" t="n"/>
      <c r="C39" s="13" t="n"/>
      <c r="D39" s="12" t="n"/>
      <c r="E39" s="14">
        <f>IF($A39="","",IFERROR(TEXTJOIN(CHAR(10),TRUE,FILTER('Learning Objectives'!$D:$D,'Learning Objectives'!$A:$A="Junior",'Learning Objectives'!$B:$B=$A39)),""))</f>
        <v/>
      </c>
      <c r="F39" s="12" t="n"/>
      <c r="G39" s="13" t="n"/>
      <c r="H39" s="13" t="n"/>
      <c r="I39" s="12" t="n"/>
      <c r="J39" s="12" t="n"/>
      <c r="K39" s="12" t="n"/>
      <c r="L39" s="13" t="n"/>
      <c r="M39" s="13" t="n"/>
      <c r="N39" s="12" t="n"/>
    </row>
    <row r="40">
      <c r="A40" s="11" t="n"/>
      <c r="B40" s="12" t="n"/>
      <c r="C40" s="13" t="n"/>
      <c r="D40" s="12" t="n"/>
      <c r="E40" s="14">
        <f>IF($A40="","",IFERROR(TEXTJOIN(CHAR(10),TRUE,FILTER('Learning Objectives'!$D:$D,'Learning Objectives'!$A:$A="Junior",'Learning Objectives'!$B:$B=$A40)),""))</f>
        <v/>
      </c>
      <c r="F40" s="12" t="n"/>
      <c r="G40" s="13" t="n"/>
      <c r="H40" s="13" t="n"/>
      <c r="I40" s="12" t="n"/>
      <c r="J40" s="12" t="n"/>
      <c r="K40" s="12" t="n"/>
      <c r="L40" s="13" t="n"/>
      <c r="M40" s="13" t="n"/>
      <c r="N40" s="12" t="n"/>
    </row>
    <row r="41">
      <c r="A41" s="11" t="n"/>
      <c r="B41" s="12" t="n"/>
      <c r="C41" s="13" t="n"/>
      <c r="D41" s="12" t="n"/>
      <c r="E41" s="14">
        <f>IF($A41="","",IFERROR(TEXTJOIN(CHAR(10),TRUE,FILTER('Learning Objectives'!$D:$D,'Learning Objectives'!$A:$A="Junior",'Learning Objectives'!$B:$B=$A41)),""))</f>
        <v/>
      </c>
      <c r="F41" s="12" t="n"/>
      <c r="G41" s="13" t="n"/>
      <c r="H41" s="13" t="n"/>
      <c r="I41" s="12" t="n"/>
      <c r="J41" s="12" t="n"/>
      <c r="K41" s="12" t="n"/>
      <c r="L41" s="13" t="n"/>
      <c r="M41" s="13" t="n"/>
      <c r="N41" s="12" t="n"/>
    </row>
    <row r="42">
      <c r="A42" s="11" t="n"/>
      <c r="B42" s="12" t="n"/>
      <c r="C42" s="13" t="n"/>
      <c r="D42" s="12" t="n"/>
      <c r="E42" s="14">
        <f>IF($A42="","",IFERROR(TEXTJOIN(CHAR(10),TRUE,FILTER('Learning Objectives'!$D:$D,'Learning Objectives'!$A:$A="Junior",'Learning Objectives'!$B:$B=$A42)),""))</f>
        <v/>
      </c>
      <c r="F42" s="12" t="n"/>
      <c r="G42" s="13" t="n"/>
      <c r="H42" s="13" t="n"/>
      <c r="I42" s="12" t="n"/>
      <c r="J42" s="12" t="n"/>
      <c r="K42" s="12" t="n"/>
      <c r="L42" s="13" t="n"/>
      <c r="M42" s="13" t="n"/>
      <c r="N42" s="12" t="n"/>
    </row>
    <row r="43">
      <c r="A43" s="11" t="n"/>
      <c r="B43" s="12" t="n"/>
      <c r="C43" s="13" t="n"/>
      <c r="D43" s="12" t="n"/>
      <c r="E43" s="14">
        <f>IF($A43="","",IFERROR(TEXTJOIN(CHAR(10),TRUE,FILTER('Learning Objectives'!$D:$D,'Learning Objectives'!$A:$A="Junior",'Learning Objectives'!$B:$B=$A43)),""))</f>
        <v/>
      </c>
      <c r="F43" s="12" t="n"/>
      <c r="G43" s="13" t="n"/>
      <c r="H43" s="13" t="n"/>
      <c r="I43" s="12" t="n"/>
      <c r="J43" s="12" t="n"/>
      <c r="K43" s="12" t="n"/>
      <c r="L43" s="13" t="n"/>
      <c r="M43" s="13" t="n"/>
      <c r="N43" s="12" t="n"/>
    </row>
    <row r="44">
      <c r="A44" s="11" t="n"/>
      <c r="B44" s="12" t="n"/>
      <c r="C44" s="13" t="n"/>
      <c r="D44" s="12" t="n"/>
      <c r="E44" s="14">
        <f>IF($A44="","",IFERROR(TEXTJOIN(CHAR(10),TRUE,FILTER('Learning Objectives'!$D:$D,'Learning Objectives'!$A:$A="Junior",'Learning Objectives'!$B:$B=$A44)),""))</f>
        <v/>
      </c>
      <c r="F44" s="12" t="n"/>
      <c r="G44" s="13" t="n"/>
      <c r="H44" s="13" t="n"/>
      <c r="I44" s="12" t="n"/>
      <c r="J44" s="12" t="n"/>
      <c r="K44" s="12" t="n"/>
      <c r="L44" s="13" t="n"/>
      <c r="M44" s="13" t="n"/>
      <c r="N44" s="12" t="n"/>
    </row>
    <row r="45">
      <c r="A45" s="11" t="n"/>
      <c r="B45" s="12" t="n"/>
      <c r="C45" s="13" t="n"/>
      <c r="D45" s="12" t="n"/>
      <c r="E45" s="14">
        <f>IF($A45="","",IFERROR(TEXTJOIN(CHAR(10),TRUE,FILTER('Learning Objectives'!$D:$D,'Learning Objectives'!$A:$A="Junior",'Learning Objectives'!$B:$B=$A45)),""))</f>
        <v/>
      </c>
      <c r="F45" s="12" t="n"/>
      <c r="G45" s="13" t="n"/>
      <c r="H45" s="13" t="n"/>
      <c r="I45" s="12" t="n"/>
      <c r="J45" s="12" t="n"/>
      <c r="K45" s="12" t="n"/>
      <c r="L45" s="13" t="n"/>
      <c r="M45" s="13" t="n"/>
      <c r="N45" s="12" t="n"/>
    </row>
    <row r="46">
      <c r="A46" s="11" t="n"/>
      <c r="B46" s="12" t="n"/>
      <c r="C46" s="13" t="n"/>
      <c r="D46" s="12" t="n"/>
      <c r="E46" s="14">
        <f>IF($A46="","",IFERROR(TEXTJOIN(CHAR(10),TRUE,FILTER('Learning Objectives'!$D:$D,'Learning Objectives'!$A:$A="Junior",'Learning Objectives'!$B:$B=$A46)),""))</f>
        <v/>
      </c>
      <c r="F46" s="12" t="n"/>
      <c r="G46" s="13" t="n"/>
      <c r="H46" s="13" t="n"/>
      <c r="I46" s="12" t="n"/>
      <c r="J46" s="12" t="n"/>
      <c r="K46" s="12" t="n"/>
      <c r="L46" s="13" t="n"/>
      <c r="M46" s="13" t="n"/>
      <c r="N46" s="12" t="n"/>
    </row>
    <row r="47">
      <c r="A47" s="11" t="n"/>
      <c r="B47" s="12" t="n"/>
      <c r="C47" s="13" t="n"/>
      <c r="D47" s="12" t="n"/>
      <c r="E47" s="14">
        <f>IF($A47="","",IFERROR(TEXTJOIN(CHAR(10),TRUE,FILTER('Learning Objectives'!$D:$D,'Learning Objectives'!$A:$A="Junior",'Learning Objectives'!$B:$B=$A47)),""))</f>
        <v/>
      </c>
      <c r="F47" s="12" t="n"/>
      <c r="G47" s="13" t="n"/>
      <c r="H47" s="13" t="n"/>
      <c r="I47" s="12" t="n"/>
      <c r="J47" s="12" t="n"/>
      <c r="K47" s="12" t="n"/>
      <c r="L47" s="13" t="n"/>
      <c r="M47" s="13" t="n"/>
      <c r="N47" s="12" t="n"/>
    </row>
    <row r="48">
      <c r="A48" s="11" t="n"/>
      <c r="B48" s="12" t="n"/>
      <c r="C48" s="13" t="n"/>
      <c r="D48" s="12" t="n"/>
      <c r="E48" s="14">
        <f>IF($A48="","",IFERROR(TEXTJOIN(CHAR(10),TRUE,FILTER('Learning Objectives'!$D:$D,'Learning Objectives'!$A:$A="Junior",'Learning Objectives'!$B:$B=$A48)),""))</f>
        <v/>
      </c>
      <c r="F48" s="12" t="n"/>
      <c r="G48" s="13" t="n"/>
      <c r="H48" s="13" t="n"/>
      <c r="I48" s="12" t="n"/>
      <c r="J48" s="12" t="n"/>
      <c r="K48" s="12" t="n"/>
      <c r="L48" s="13" t="n"/>
      <c r="M48" s="13" t="n"/>
      <c r="N48" s="12" t="n"/>
    </row>
    <row r="49">
      <c r="A49" s="11" t="n"/>
      <c r="B49" s="12" t="n"/>
      <c r="C49" s="13" t="n"/>
      <c r="D49" s="12" t="n"/>
      <c r="E49" s="14">
        <f>IF($A49="","",IFERROR(TEXTJOIN(CHAR(10),TRUE,FILTER('Learning Objectives'!$D:$D,'Learning Objectives'!$A:$A="Junior",'Learning Objectives'!$B:$B=$A49)),""))</f>
        <v/>
      </c>
      <c r="F49" s="12" t="n"/>
      <c r="G49" s="13" t="n"/>
      <c r="H49" s="13" t="n"/>
      <c r="I49" s="12" t="n"/>
      <c r="J49" s="12" t="n"/>
      <c r="K49" s="12" t="n"/>
      <c r="L49" s="13" t="n"/>
      <c r="M49" s="13" t="n"/>
      <c r="N49" s="12" t="n"/>
    </row>
    <row r="50">
      <c r="A50" s="11" t="n"/>
      <c r="B50" s="12" t="n"/>
      <c r="C50" s="13" t="n"/>
      <c r="D50" s="12" t="n"/>
      <c r="E50" s="14">
        <f>IF($A50="","",IFERROR(TEXTJOIN(CHAR(10),TRUE,FILTER('Learning Objectives'!$D:$D,'Learning Objectives'!$A:$A="Junior",'Learning Objectives'!$B:$B=$A50)),""))</f>
        <v/>
      </c>
      <c r="F50" s="12" t="n"/>
      <c r="G50" s="13" t="n"/>
      <c r="H50" s="13" t="n"/>
      <c r="I50" s="12" t="n"/>
      <c r="J50" s="12" t="n"/>
      <c r="K50" s="12" t="n"/>
      <c r="L50" s="13" t="n"/>
      <c r="M50" s="13" t="n"/>
      <c r="N50" s="12" t="n"/>
    </row>
    <row r="51">
      <c r="A51" s="11" t="n"/>
      <c r="B51" s="12" t="n"/>
      <c r="C51" s="13" t="n"/>
      <c r="D51" s="12" t="n"/>
      <c r="E51" s="14">
        <f>IF($A51="","",IFERROR(TEXTJOIN(CHAR(10),TRUE,FILTER('Learning Objectives'!$D:$D,'Learning Objectives'!$A:$A="Junior",'Learning Objectives'!$B:$B=$A51)),""))</f>
        <v/>
      </c>
      <c r="F51" s="12" t="n"/>
      <c r="G51" s="13" t="n"/>
      <c r="H51" s="13" t="n"/>
      <c r="I51" s="12" t="n"/>
      <c r="J51" s="12" t="n"/>
      <c r="K51" s="12" t="n"/>
      <c r="L51" s="13" t="n"/>
      <c r="M51" s="13" t="n"/>
      <c r="N51" s="12" t="n"/>
    </row>
  </sheetData>
  <autoFilter ref="A1:N1"/>
  <dataValidations count="2">
    <dataValidation sqref="K2:K51" showDropDown="0" showInputMessage="0" showErrorMessage="0" allowBlank="1" error="Pick one of the listed values." type="list">
      <formula1>"Pick the right one,Match things together,Put things in order,Explore and find"</formula1>
    </dataValidation>
    <dataValidation sqref="M2:M51" showDropDown="0" showInputMessage="0" showErrorMessage="1" allowBlank="1" error="Pick one of the listed values." type="list">
      <formula1>"Draft,Ready for Review,Published"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18" customWidth="1" min="3" max="3"/>
    <col width="62" customWidth="1" min="4" max="4"/>
    <col width="42" customWidth="1" min="5" max="5"/>
    <col width="38" customWidth="1" min="6" max="6"/>
    <col width="20" customWidth="1" min="7" max="7"/>
    <col width="26" customWidth="1" min="8" max="8"/>
    <col width="38" customWidth="1" min="9" max="9"/>
    <col width="38" customWidth="1" min="10" max="10"/>
    <col width="30" customWidth="1" min="11" max="11"/>
    <col width="18" customWidth="1" min="12" max="12"/>
    <col width="18" customWidth="1" min="13" max="13"/>
    <col width="40" customWidth="1" min="14" max="14"/>
  </cols>
  <sheetData>
    <row r="1" ht="42" customHeight="1">
      <c r="A1" s="10" t="inlineStr">
        <is>
          <t>Chapter</t>
        </is>
      </c>
      <c r="B1" s="10" t="inlineStr">
        <is>
          <t>Title</t>
        </is>
      </c>
      <c r="C1" s="10" t="inlineStr">
        <is>
          <t>Bible Reference</t>
        </is>
      </c>
      <c r="D1" s="10" t="inlineStr">
        <is>
          <t>Curriculum</t>
        </is>
      </c>
      <c r="E1" s="10" t="inlineStr">
        <is>
          <t>Learning Objectives</t>
        </is>
      </c>
      <c r="F1" s="10" t="inlineStr">
        <is>
          <t>Memory Verse</t>
        </is>
      </c>
      <c r="G1" s="10" t="inlineStr">
        <is>
          <t>Memory Verse Reference</t>
        </is>
      </c>
      <c r="H1" s="10" t="inlineStr">
        <is>
          <t>Video</t>
        </is>
      </c>
      <c r="I1" s="10" t="inlineStr">
        <is>
          <t>Take Home</t>
        </is>
      </c>
      <c r="J1" s="10" t="inlineStr">
        <is>
          <t>Teaching Notes</t>
        </is>
      </c>
      <c r="K1" s="10" t="inlineStr">
        <is>
          <t>Game Suggestion</t>
        </is>
      </c>
      <c r="L1" s="10" t="inlineStr">
        <is>
          <t>Contributor</t>
        </is>
      </c>
      <c r="M1" s="10" t="inlineStr">
        <is>
          <t>Status</t>
        </is>
      </c>
      <c r="N1" s="10" t="inlineStr">
        <is>
          <t>Notes</t>
        </is>
      </c>
    </row>
    <row r="2">
      <c r="A2" s="11" t="n"/>
      <c r="B2" s="12" t="n"/>
      <c r="C2" s="13" t="n"/>
      <c r="D2" s="12" t="n"/>
      <c r="E2" s="14">
        <f>IF($A2="","",IFERROR(TEXTJOIN(CHAR(10),TRUE,FILTER('Learning Objectives'!$D:$D,'Learning Objectives'!$A:$A="Intermediate",'Learning Objectives'!$B:$B=$A2)),""))</f>
        <v/>
      </c>
      <c r="F2" s="12" t="n"/>
      <c r="G2" s="13" t="n"/>
      <c r="H2" s="13" t="n"/>
      <c r="I2" s="12" t="n"/>
      <c r="J2" s="12" t="n"/>
      <c r="K2" s="12" t="n"/>
      <c r="L2" s="13" t="n"/>
      <c r="M2" s="13" t="n"/>
      <c r="N2" s="12" t="n"/>
    </row>
    <row r="3">
      <c r="A3" s="11" t="n"/>
      <c r="B3" s="12" t="n"/>
      <c r="C3" s="13" t="n"/>
      <c r="D3" s="12" t="n"/>
      <c r="E3" s="14">
        <f>IF($A3="","",IFERROR(TEXTJOIN(CHAR(10),TRUE,FILTER('Learning Objectives'!$D:$D,'Learning Objectives'!$A:$A="Intermediate",'Learning Objectives'!$B:$B=$A3)),""))</f>
        <v/>
      </c>
      <c r="F3" s="12" t="n"/>
      <c r="G3" s="13" t="n"/>
      <c r="H3" s="13" t="n"/>
      <c r="I3" s="12" t="n"/>
      <c r="J3" s="12" t="n"/>
      <c r="K3" s="12" t="n"/>
      <c r="L3" s="13" t="n"/>
      <c r="M3" s="13" t="n"/>
      <c r="N3" s="12" t="n"/>
    </row>
    <row r="4">
      <c r="A4" s="11" t="n"/>
      <c r="B4" s="12" t="n"/>
      <c r="C4" s="13" t="n"/>
      <c r="D4" s="12" t="n"/>
      <c r="E4" s="14">
        <f>IF($A4="","",IFERROR(TEXTJOIN(CHAR(10),TRUE,FILTER('Learning Objectives'!$D:$D,'Learning Objectives'!$A:$A="Intermediate",'Learning Objectives'!$B:$B=$A4)),""))</f>
        <v/>
      </c>
      <c r="F4" s="12" t="n"/>
      <c r="G4" s="13" t="n"/>
      <c r="H4" s="13" t="n"/>
      <c r="I4" s="12" t="n"/>
      <c r="J4" s="12" t="n"/>
      <c r="K4" s="12" t="n"/>
      <c r="L4" s="13" t="n"/>
      <c r="M4" s="13" t="n"/>
      <c r="N4" s="12" t="n"/>
    </row>
    <row r="5">
      <c r="A5" s="11" t="n"/>
      <c r="B5" s="12" t="n"/>
      <c r="C5" s="13" t="n"/>
      <c r="D5" s="12" t="n"/>
      <c r="E5" s="14">
        <f>IF($A5="","",IFERROR(TEXTJOIN(CHAR(10),TRUE,FILTER('Learning Objectives'!$D:$D,'Learning Objectives'!$A:$A="Intermediate",'Learning Objectives'!$B:$B=$A5)),""))</f>
        <v/>
      </c>
      <c r="F5" s="12" t="n"/>
      <c r="G5" s="13" t="n"/>
      <c r="H5" s="13" t="n"/>
      <c r="I5" s="12" t="n"/>
      <c r="J5" s="12" t="n"/>
      <c r="K5" s="12" t="n"/>
      <c r="L5" s="13" t="n"/>
      <c r="M5" s="13" t="n"/>
      <c r="N5" s="12" t="n"/>
    </row>
    <row r="6">
      <c r="A6" s="11" t="n"/>
      <c r="B6" s="12" t="n"/>
      <c r="C6" s="13" t="n"/>
      <c r="D6" s="12" t="n"/>
      <c r="E6" s="14">
        <f>IF($A6="","",IFERROR(TEXTJOIN(CHAR(10),TRUE,FILTER('Learning Objectives'!$D:$D,'Learning Objectives'!$A:$A="Intermediate",'Learning Objectives'!$B:$B=$A6)),""))</f>
        <v/>
      </c>
      <c r="F6" s="12" t="n"/>
      <c r="G6" s="13" t="n"/>
      <c r="H6" s="13" t="n"/>
      <c r="I6" s="12" t="n"/>
      <c r="J6" s="12" t="n"/>
      <c r="K6" s="12" t="n"/>
      <c r="L6" s="13" t="n"/>
      <c r="M6" s="13" t="n"/>
      <c r="N6" s="12" t="n"/>
    </row>
    <row r="7">
      <c r="A7" s="11" t="n"/>
      <c r="B7" s="12" t="n"/>
      <c r="C7" s="13" t="n"/>
      <c r="D7" s="12" t="n"/>
      <c r="E7" s="14">
        <f>IF($A7="","",IFERROR(TEXTJOIN(CHAR(10),TRUE,FILTER('Learning Objectives'!$D:$D,'Learning Objectives'!$A:$A="Intermediate",'Learning Objectives'!$B:$B=$A7)),""))</f>
        <v/>
      </c>
      <c r="F7" s="12" t="n"/>
      <c r="G7" s="13" t="n"/>
      <c r="H7" s="13" t="n"/>
      <c r="I7" s="12" t="n"/>
      <c r="J7" s="12" t="n"/>
      <c r="K7" s="12" t="n"/>
      <c r="L7" s="13" t="n"/>
      <c r="M7" s="13" t="n"/>
      <c r="N7" s="12" t="n"/>
    </row>
    <row r="8">
      <c r="A8" s="11" t="n"/>
      <c r="B8" s="12" t="n"/>
      <c r="C8" s="13" t="n"/>
      <c r="D8" s="12" t="n"/>
      <c r="E8" s="14">
        <f>IF($A8="","",IFERROR(TEXTJOIN(CHAR(10),TRUE,FILTER('Learning Objectives'!$D:$D,'Learning Objectives'!$A:$A="Intermediate",'Learning Objectives'!$B:$B=$A8)),""))</f>
        <v/>
      </c>
      <c r="F8" s="12" t="n"/>
      <c r="G8" s="13" t="n"/>
      <c r="H8" s="13" t="n"/>
      <c r="I8" s="12" t="n"/>
      <c r="J8" s="12" t="n"/>
      <c r="K8" s="12" t="n"/>
      <c r="L8" s="13" t="n"/>
      <c r="M8" s="13" t="n"/>
      <c r="N8" s="12" t="n"/>
    </row>
    <row r="9">
      <c r="A9" s="11" t="n"/>
      <c r="B9" s="12" t="n"/>
      <c r="C9" s="13" t="n"/>
      <c r="D9" s="12" t="n"/>
      <c r="E9" s="14">
        <f>IF($A9="","",IFERROR(TEXTJOIN(CHAR(10),TRUE,FILTER('Learning Objectives'!$D:$D,'Learning Objectives'!$A:$A="Intermediate",'Learning Objectives'!$B:$B=$A9)),""))</f>
        <v/>
      </c>
      <c r="F9" s="12" t="n"/>
      <c r="G9" s="13" t="n"/>
      <c r="H9" s="13" t="n"/>
      <c r="I9" s="12" t="n"/>
      <c r="J9" s="12" t="n"/>
      <c r="K9" s="12" t="n"/>
      <c r="L9" s="13" t="n"/>
      <c r="M9" s="13" t="n"/>
      <c r="N9" s="12" t="n"/>
    </row>
    <row r="10">
      <c r="A10" s="11" t="n"/>
      <c r="B10" s="12" t="n"/>
      <c r="C10" s="13" t="n"/>
      <c r="D10" s="12" t="n"/>
      <c r="E10" s="14">
        <f>IF($A10="","",IFERROR(TEXTJOIN(CHAR(10),TRUE,FILTER('Learning Objectives'!$D:$D,'Learning Objectives'!$A:$A="Intermediate",'Learning Objectives'!$B:$B=$A10)),""))</f>
        <v/>
      </c>
      <c r="F10" s="12" t="n"/>
      <c r="G10" s="13" t="n"/>
      <c r="H10" s="13" t="n"/>
      <c r="I10" s="12" t="n"/>
      <c r="J10" s="12" t="n"/>
      <c r="K10" s="12" t="n"/>
      <c r="L10" s="13" t="n"/>
      <c r="M10" s="13" t="n"/>
      <c r="N10" s="12" t="n"/>
    </row>
    <row r="11">
      <c r="A11" s="11" t="n"/>
      <c r="B11" s="12" t="n"/>
      <c r="C11" s="13" t="n"/>
      <c r="D11" s="12" t="n"/>
      <c r="E11" s="14">
        <f>IF($A11="","",IFERROR(TEXTJOIN(CHAR(10),TRUE,FILTER('Learning Objectives'!$D:$D,'Learning Objectives'!$A:$A="Intermediate",'Learning Objectives'!$B:$B=$A11)),""))</f>
        <v/>
      </c>
      <c r="F11" s="12" t="n"/>
      <c r="G11" s="13" t="n"/>
      <c r="H11" s="13" t="n"/>
      <c r="I11" s="12" t="n"/>
      <c r="J11" s="12" t="n"/>
      <c r="K11" s="12" t="n"/>
      <c r="L11" s="13" t="n"/>
      <c r="M11" s="13" t="n"/>
      <c r="N11" s="12" t="n"/>
    </row>
    <row r="12">
      <c r="A12" s="11" t="n"/>
      <c r="B12" s="12" t="n"/>
      <c r="C12" s="13" t="n"/>
      <c r="D12" s="12" t="n"/>
      <c r="E12" s="14">
        <f>IF($A12="","",IFERROR(TEXTJOIN(CHAR(10),TRUE,FILTER('Learning Objectives'!$D:$D,'Learning Objectives'!$A:$A="Intermediate",'Learning Objectives'!$B:$B=$A12)),""))</f>
        <v/>
      </c>
      <c r="F12" s="12" t="n"/>
      <c r="G12" s="13" t="n"/>
      <c r="H12" s="13" t="n"/>
      <c r="I12" s="12" t="n"/>
      <c r="J12" s="12" t="n"/>
      <c r="K12" s="12" t="n"/>
      <c r="L12" s="13" t="n"/>
      <c r="M12" s="13" t="n"/>
      <c r="N12" s="12" t="n"/>
    </row>
    <row r="13">
      <c r="A13" s="11" t="n"/>
      <c r="B13" s="12" t="n"/>
      <c r="C13" s="13" t="n"/>
      <c r="D13" s="12" t="n"/>
      <c r="E13" s="14">
        <f>IF($A13="","",IFERROR(TEXTJOIN(CHAR(10),TRUE,FILTER('Learning Objectives'!$D:$D,'Learning Objectives'!$A:$A="Intermediate",'Learning Objectives'!$B:$B=$A13)),""))</f>
        <v/>
      </c>
      <c r="F13" s="12" t="n"/>
      <c r="G13" s="13" t="n"/>
      <c r="H13" s="13" t="n"/>
      <c r="I13" s="12" t="n"/>
      <c r="J13" s="12" t="n"/>
      <c r="K13" s="12" t="n"/>
      <c r="L13" s="13" t="n"/>
      <c r="M13" s="13" t="n"/>
      <c r="N13" s="12" t="n"/>
    </row>
    <row r="14">
      <c r="A14" s="11" t="n"/>
      <c r="B14" s="12" t="n"/>
      <c r="C14" s="13" t="n"/>
      <c r="D14" s="12" t="n"/>
      <c r="E14" s="14">
        <f>IF($A14="","",IFERROR(TEXTJOIN(CHAR(10),TRUE,FILTER('Learning Objectives'!$D:$D,'Learning Objectives'!$A:$A="Intermediate",'Learning Objectives'!$B:$B=$A14)),""))</f>
        <v/>
      </c>
      <c r="F14" s="12" t="n"/>
      <c r="G14" s="13" t="n"/>
      <c r="H14" s="13" t="n"/>
      <c r="I14" s="12" t="n"/>
      <c r="J14" s="12" t="n"/>
      <c r="K14" s="12" t="n"/>
      <c r="L14" s="13" t="n"/>
      <c r="M14" s="13" t="n"/>
      <c r="N14" s="12" t="n"/>
    </row>
    <row r="15">
      <c r="A15" s="11" t="n"/>
      <c r="B15" s="12" t="n"/>
      <c r="C15" s="13" t="n"/>
      <c r="D15" s="12" t="n"/>
      <c r="E15" s="14">
        <f>IF($A15="","",IFERROR(TEXTJOIN(CHAR(10),TRUE,FILTER('Learning Objectives'!$D:$D,'Learning Objectives'!$A:$A="Intermediate",'Learning Objectives'!$B:$B=$A15)),""))</f>
        <v/>
      </c>
      <c r="F15" s="12" t="n"/>
      <c r="G15" s="13" t="n"/>
      <c r="H15" s="13" t="n"/>
      <c r="I15" s="12" t="n"/>
      <c r="J15" s="12" t="n"/>
      <c r="K15" s="12" t="n"/>
      <c r="L15" s="13" t="n"/>
      <c r="M15" s="13" t="n"/>
      <c r="N15" s="12" t="n"/>
    </row>
    <row r="16">
      <c r="A16" s="11" t="n"/>
      <c r="B16" s="12" t="n"/>
      <c r="C16" s="13" t="n"/>
      <c r="D16" s="12" t="n"/>
      <c r="E16" s="14">
        <f>IF($A16="","",IFERROR(TEXTJOIN(CHAR(10),TRUE,FILTER('Learning Objectives'!$D:$D,'Learning Objectives'!$A:$A="Intermediate",'Learning Objectives'!$B:$B=$A16)),""))</f>
        <v/>
      </c>
      <c r="F16" s="12" t="n"/>
      <c r="G16" s="13" t="n"/>
      <c r="H16" s="13" t="n"/>
      <c r="I16" s="12" t="n"/>
      <c r="J16" s="12" t="n"/>
      <c r="K16" s="12" t="n"/>
      <c r="L16" s="13" t="n"/>
      <c r="M16" s="13" t="n"/>
      <c r="N16" s="12" t="n"/>
    </row>
    <row r="17">
      <c r="A17" s="11" t="n"/>
      <c r="B17" s="12" t="n"/>
      <c r="C17" s="13" t="n"/>
      <c r="D17" s="12" t="n"/>
      <c r="E17" s="14">
        <f>IF($A17="","",IFERROR(TEXTJOIN(CHAR(10),TRUE,FILTER('Learning Objectives'!$D:$D,'Learning Objectives'!$A:$A="Intermediate",'Learning Objectives'!$B:$B=$A17)),""))</f>
        <v/>
      </c>
      <c r="F17" s="12" t="n"/>
      <c r="G17" s="13" t="n"/>
      <c r="H17" s="13" t="n"/>
      <c r="I17" s="12" t="n"/>
      <c r="J17" s="12" t="n"/>
      <c r="K17" s="12" t="n"/>
      <c r="L17" s="13" t="n"/>
      <c r="M17" s="13" t="n"/>
      <c r="N17" s="12" t="n"/>
    </row>
    <row r="18">
      <c r="A18" s="11" t="n"/>
      <c r="B18" s="12" t="n"/>
      <c r="C18" s="13" t="n"/>
      <c r="D18" s="12" t="n"/>
      <c r="E18" s="14">
        <f>IF($A18="","",IFERROR(TEXTJOIN(CHAR(10),TRUE,FILTER('Learning Objectives'!$D:$D,'Learning Objectives'!$A:$A="Intermediate",'Learning Objectives'!$B:$B=$A18)),""))</f>
        <v/>
      </c>
      <c r="F18" s="12" t="n"/>
      <c r="G18" s="13" t="n"/>
      <c r="H18" s="13" t="n"/>
      <c r="I18" s="12" t="n"/>
      <c r="J18" s="12" t="n"/>
      <c r="K18" s="12" t="n"/>
      <c r="L18" s="13" t="n"/>
      <c r="M18" s="13" t="n"/>
      <c r="N18" s="12" t="n"/>
    </row>
    <row r="19">
      <c r="A19" s="11" t="n"/>
      <c r="B19" s="12" t="n"/>
      <c r="C19" s="13" t="n"/>
      <c r="D19" s="12" t="n"/>
      <c r="E19" s="14">
        <f>IF($A19="","",IFERROR(TEXTJOIN(CHAR(10),TRUE,FILTER('Learning Objectives'!$D:$D,'Learning Objectives'!$A:$A="Intermediate",'Learning Objectives'!$B:$B=$A19)),""))</f>
        <v/>
      </c>
      <c r="F19" s="12" t="n"/>
      <c r="G19" s="13" t="n"/>
      <c r="H19" s="13" t="n"/>
      <c r="I19" s="12" t="n"/>
      <c r="J19" s="12" t="n"/>
      <c r="K19" s="12" t="n"/>
      <c r="L19" s="13" t="n"/>
      <c r="M19" s="13" t="n"/>
      <c r="N19" s="12" t="n"/>
    </row>
    <row r="20">
      <c r="A20" s="11" t="n"/>
      <c r="B20" s="12" t="n"/>
      <c r="C20" s="13" t="n"/>
      <c r="D20" s="12" t="n"/>
      <c r="E20" s="14">
        <f>IF($A20="","",IFERROR(TEXTJOIN(CHAR(10),TRUE,FILTER('Learning Objectives'!$D:$D,'Learning Objectives'!$A:$A="Intermediate",'Learning Objectives'!$B:$B=$A20)),""))</f>
        <v/>
      </c>
      <c r="F20" s="12" t="n"/>
      <c r="G20" s="13" t="n"/>
      <c r="H20" s="13" t="n"/>
      <c r="I20" s="12" t="n"/>
      <c r="J20" s="12" t="n"/>
      <c r="K20" s="12" t="n"/>
      <c r="L20" s="13" t="n"/>
      <c r="M20" s="13" t="n"/>
      <c r="N20" s="12" t="n"/>
    </row>
    <row r="21">
      <c r="A21" s="11" t="n"/>
      <c r="B21" s="12" t="n"/>
      <c r="C21" s="13" t="n"/>
      <c r="D21" s="12" t="n"/>
      <c r="E21" s="14">
        <f>IF($A21="","",IFERROR(TEXTJOIN(CHAR(10),TRUE,FILTER('Learning Objectives'!$D:$D,'Learning Objectives'!$A:$A="Intermediate",'Learning Objectives'!$B:$B=$A21)),""))</f>
        <v/>
      </c>
      <c r="F21" s="12" t="n"/>
      <c r="G21" s="13" t="n"/>
      <c r="H21" s="13" t="n"/>
      <c r="I21" s="12" t="n"/>
      <c r="J21" s="12" t="n"/>
      <c r="K21" s="12" t="n"/>
      <c r="L21" s="13" t="n"/>
      <c r="M21" s="13" t="n"/>
      <c r="N21" s="12" t="n"/>
    </row>
    <row r="22">
      <c r="A22" s="11" t="n"/>
      <c r="B22" s="12" t="n"/>
      <c r="C22" s="13" t="n"/>
      <c r="D22" s="12" t="n"/>
      <c r="E22" s="14">
        <f>IF($A22="","",IFERROR(TEXTJOIN(CHAR(10),TRUE,FILTER('Learning Objectives'!$D:$D,'Learning Objectives'!$A:$A="Intermediate",'Learning Objectives'!$B:$B=$A22)),""))</f>
        <v/>
      </c>
      <c r="F22" s="12" t="n"/>
      <c r="G22" s="13" t="n"/>
      <c r="H22" s="13" t="n"/>
      <c r="I22" s="12" t="n"/>
      <c r="J22" s="12" t="n"/>
      <c r="K22" s="12" t="n"/>
      <c r="L22" s="13" t="n"/>
      <c r="M22" s="13" t="n"/>
      <c r="N22" s="12" t="n"/>
    </row>
    <row r="23">
      <c r="A23" s="11" t="n"/>
      <c r="B23" s="12" t="n"/>
      <c r="C23" s="13" t="n"/>
      <c r="D23" s="12" t="n"/>
      <c r="E23" s="14">
        <f>IF($A23="","",IFERROR(TEXTJOIN(CHAR(10),TRUE,FILTER('Learning Objectives'!$D:$D,'Learning Objectives'!$A:$A="Intermediate",'Learning Objectives'!$B:$B=$A23)),""))</f>
        <v/>
      </c>
      <c r="F23" s="12" t="n"/>
      <c r="G23" s="13" t="n"/>
      <c r="H23" s="13" t="n"/>
      <c r="I23" s="12" t="n"/>
      <c r="J23" s="12" t="n"/>
      <c r="K23" s="12" t="n"/>
      <c r="L23" s="13" t="n"/>
      <c r="M23" s="13" t="n"/>
      <c r="N23" s="12" t="n"/>
    </row>
    <row r="24">
      <c r="A24" s="11" t="n"/>
      <c r="B24" s="12" t="n"/>
      <c r="C24" s="13" t="n"/>
      <c r="D24" s="12" t="n"/>
      <c r="E24" s="14">
        <f>IF($A24="","",IFERROR(TEXTJOIN(CHAR(10),TRUE,FILTER('Learning Objectives'!$D:$D,'Learning Objectives'!$A:$A="Intermediate",'Learning Objectives'!$B:$B=$A24)),""))</f>
        <v/>
      </c>
      <c r="F24" s="12" t="n"/>
      <c r="G24" s="13" t="n"/>
      <c r="H24" s="13" t="n"/>
      <c r="I24" s="12" t="n"/>
      <c r="J24" s="12" t="n"/>
      <c r="K24" s="12" t="n"/>
      <c r="L24" s="13" t="n"/>
      <c r="M24" s="13" t="n"/>
      <c r="N24" s="12" t="n"/>
    </row>
    <row r="25">
      <c r="A25" s="11" t="n"/>
      <c r="B25" s="12" t="n"/>
      <c r="C25" s="13" t="n"/>
      <c r="D25" s="12" t="n"/>
      <c r="E25" s="14">
        <f>IF($A25="","",IFERROR(TEXTJOIN(CHAR(10),TRUE,FILTER('Learning Objectives'!$D:$D,'Learning Objectives'!$A:$A="Intermediate",'Learning Objectives'!$B:$B=$A25)),""))</f>
        <v/>
      </c>
      <c r="F25" s="12" t="n"/>
      <c r="G25" s="13" t="n"/>
      <c r="H25" s="13" t="n"/>
      <c r="I25" s="12" t="n"/>
      <c r="J25" s="12" t="n"/>
      <c r="K25" s="12" t="n"/>
      <c r="L25" s="13" t="n"/>
      <c r="M25" s="13" t="n"/>
      <c r="N25" s="12" t="n"/>
    </row>
    <row r="26">
      <c r="A26" s="11" t="n"/>
      <c r="B26" s="12" t="n"/>
      <c r="C26" s="13" t="n"/>
      <c r="D26" s="12" t="n"/>
      <c r="E26" s="14">
        <f>IF($A26="","",IFERROR(TEXTJOIN(CHAR(10),TRUE,FILTER('Learning Objectives'!$D:$D,'Learning Objectives'!$A:$A="Intermediate",'Learning Objectives'!$B:$B=$A26)),""))</f>
        <v/>
      </c>
      <c r="F26" s="12" t="n"/>
      <c r="G26" s="13" t="n"/>
      <c r="H26" s="13" t="n"/>
      <c r="I26" s="12" t="n"/>
      <c r="J26" s="12" t="n"/>
      <c r="K26" s="12" t="n"/>
      <c r="L26" s="13" t="n"/>
      <c r="M26" s="13" t="n"/>
      <c r="N26" s="12" t="n"/>
    </row>
    <row r="27">
      <c r="A27" s="11" t="n"/>
      <c r="B27" s="12" t="n"/>
      <c r="C27" s="13" t="n"/>
      <c r="D27" s="12" t="n"/>
      <c r="E27" s="14">
        <f>IF($A27="","",IFERROR(TEXTJOIN(CHAR(10),TRUE,FILTER('Learning Objectives'!$D:$D,'Learning Objectives'!$A:$A="Intermediate",'Learning Objectives'!$B:$B=$A27)),""))</f>
        <v/>
      </c>
      <c r="F27" s="12" t="n"/>
      <c r="G27" s="13" t="n"/>
      <c r="H27" s="13" t="n"/>
      <c r="I27" s="12" t="n"/>
      <c r="J27" s="12" t="n"/>
      <c r="K27" s="12" t="n"/>
      <c r="L27" s="13" t="n"/>
      <c r="M27" s="13" t="n"/>
      <c r="N27" s="12" t="n"/>
    </row>
    <row r="28">
      <c r="A28" s="11" t="n"/>
      <c r="B28" s="12" t="n"/>
      <c r="C28" s="13" t="n"/>
      <c r="D28" s="12" t="n"/>
      <c r="E28" s="14">
        <f>IF($A28="","",IFERROR(TEXTJOIN(CHAR(10),TRUE,FILTER('Learning Objectives'!$D:$D,'Learning Objectives'!$A:$A="Intermediate",'Learning Objectives'!$B:$B=$A28)),""))</f>
        <v/>
      </c>
      <c r="F28" s="12" t="n"/>
      <c r="G28" s="13" t="n"/>
      <c r="H28" s="13" t="n"/>
      <c r="I28" s="12" t="n"/>
      <c r="J28" s="12" t="n"/>
      <c r="K28" s="12" t="n"/>
      <c r="L28" s="13" t="n"/>
      <c r="M28" s="13" t="n"/>
      <c r="N28" s="12" t="n"/>
    </row>
    <row r="29">
      <c r="A29" s="11" t="n"/>
      <c r="B29" s="12" t="n"/>
      <c r="C29" s="13" t="n"/>
      <c r="D29" s="12" t="n"/>
      <c r="E29" s="14">
        <f>IF($A29="","",IFERROR(TEXTJOIN(CHAR(10),TRUE,FILTER('Learning Objectives'!$D:$D,'Learning Objectives'!$A:$A="Intermediate",'Learning Objectives'!$B:$B=$A29)),""))</f>
        <v/>
      </c>
      <c r="F29" s="12" t="n"/>
      <c r="G29" s="13" t="n"/>
      <c r="H29" s="13" t="n"/>
      <c r="I29" s="12" t="n"/>
      <c r="J29" s="12" t="n"/>
      <c r="K29" s="12" t="n"/>
      <c r="L29" s="13" t="n"/>
      <c r="M29" s="13" t="n"/>
      <c r="N29" s="12" t="n"/>
    </row>
    <row r="30">
      <c r="A30" s="11" t="n"/>
      <c r="B30" s="12" t="n"/>
      <c r="C30" s="13" t="n"/>
      <c r="D30" s="12" t="n"/>
      <c r="E30" s="14">
        <f>IF($A30="","",IFERROR(TEXTJOIN(CHAR(10),TRUE,FILTER('Learning Objectives'!$D:$D,'Learning Objectives'!$A:$A="Intermediate",'Learning Objectives'!$B:$B=$A30)),""))</f>
        <v/>
      </c>
      <c r="F30" s="12" t="n"/>
      <c r="G30" s="13" t="n"/>
      <c r="H30" s="13" t="n"/>
      <c r="I30" s="12" t="n"/>
      <c r="J30" s="12" t="n"/>
      <c r="K30" s="12" t="n"/>
      <c r="L30" s="13" t="n"/>
      <c r="M30" s="13" t="n"/>
      <c r="N30" s="12" t="n"/>
    </row>
    <row r="31">
      <c r="A31" s="11" t="n"/>
      <c r="B31" s="12" t="n"/>
      <c r="C31" s="13" t="n"/>
      <c r="D31" s="12" t="n"/>
      <c r="E31" s="14">
        <f>IF($A31="","",IFERROR(TEXTJOIN(CHAR(10),TRUE,FILTER('Learning Objectives'!$D:$D,'Learning Objectives'!$A:$A="Intermediate",'Learning Objectives'!$B:$B=$A31)),""))</f>
        <v/>
      </c>
      <c r="F31" s="12" t="n"/>
      <c r="G31" s="13" t="n"/>
      <c r="H31" s="13" t="n"/>
      <c r="I31" s="12" t="n"/>
      <c r="J31" s="12" t="n"/>
      <c r="K31" s="12" t="n"/>
      <c r="L31" s="13" t="n"/>
      <c r="M31" s="13" t="n"/>
      <c r="N31" s="12" t="n"/>
    </row>
    <row r="32">
      <c r="A32" s="11" t="n"/>
      <c r="B32" s="12" t="n"/>
      <c r="C32" s="13" t="n"/>
      <c r="D32" s="12" t="n"/>
      <c r="E32" s="14">
        <f>IF($A32="","",IFERROR(TEXTJOIN(CHAR(10),TRUE,FILTER('Learning Objectives'!$D:$D,'Learning Objectives'!$A:$A="Intermediate",'Learning Objectives'!$B:$B=$A32)),""))</f>
        <v/>
      </c>
      <c r="F32" s="12" t="n"/>
      <c r="G32" s="13" t="n"/>
      <c r="H32" s="13" t="n"/>
      <c r="I32" s="12" t="n"/>
      <c r="J32" s="12" t="n"/>
      <c r="K32" s="12" t="n"/>
      <c r="L32" s="13" t="n"/>
      <c r="M32" s="13" t="n"/>
      <c r="N32" s="12" t="n"/>
    </row>
    <row r="33">
      <c r="A33" s="11" t="n"/>
      <c r="B33" s="12" t="n"/>
      <c r="C33" s="13" t="n"/>
      <c r="D33" s="12" t="n"/>
      <c r="E33" s="14">
        <f>IF($A33="","",IFERROR(TEXTJOIN(CHAR(10),TRUE,FILTER('Learning Objectives'!$D:$D,'Learning Objectives'!$A:$A="Intermediate",'Learning Objectives'!$B:$B=$A33)),""))</f>
        <v/>
      </c>
      <c r="F33" s="12" t="n"/>
      <c r="G33" s="13" t="n"/>
      <c r="H33" s="13" t="n"/>
      <c r="I33" s="12" t="n"/>
      <c r="J33" s="12" t="n"/>
      <c r="K33" s="12" t="n"/>
      <c r="L33" s="13" t="n"/>
      <c r="M33" s="13" t="n"/>
      <c r="N33" s="12" t="n"/>
    </row>
    <row r="34">
      <c r="A34" s="11" t="n"/>
      <c r="B34" s="12" t="n"/>
      <c r="C34" s="13" t="n"/>
      <c r="D34" s="12" t="n"/>
      <c r="E34" s="14">
        <f>IF($A34="","",IFERROR(TEXTJOIN(CHAR(10),TRUE,FILTER('Learning Objectives'!$D:$D,'Learning Objectives'!$A:$A="Intermediate",'Learning Objectives'!$B:$B=$A34)),""))</f>
        <v/>
      </c>
      <c r="F34" s="12" t="n"/>
      <c r="G34" s="13" t="n"/>
      <c r="H34" s="13" t="n"/>
      <c r="I34" s="12" t="n"/>
      <c r="J34" s="12" t="n"/>
      <c r="K34" s="12" t="n"/>
      <c r="L34" s="13" t="n"/>
      <c r="M34" s="13" t="n"/>
      <c r="N34" s="12" t="n"/>
    </row>
    <row r="35">
      <c r="A35" s="11" t="n"/>
      <c r="B35" s="12" t="n"/>
      <c r="C35" s="13" t="n"/>
      <c r="D35" s="12" t="n"/>
      <c r="E35" s="14">
        <f>IF($A35="","",IFERROR(TEXTJOIN(CHAR(10),TRUE,FILTER('Learning Objectives'!$D:$D,'Learning Objectives'!$A:$A="Intermediate",'Learning Objectives'!$B:$B=$A35)),""))</f>
        <v/>
      </c>
      <c r="F35" s="12" t="n"/>
      <c r="G35" s="13" t="n"/>
      <c r="H35" s="13" t="n"/>
      <c r="I35" s="12" t="n"/>
      <c r="J35" s="12" t="n"/>
      <c r="K35" s="12" t="n"/>
      <c r="L35" s="13" t="n"/>
      <c r="M35" s="13" t="n"/>
      <c r="N35" s="12" t="n"/>
    </row>
    <row r="36">
      <c r="A36" s="11" t="n"/>
      <c r="B36" s="12" t="n"/>
      <c r="C36" s="13" t="n"/>
      <c r="D36" s="12" t="n"/>
      <c r="E36" s="14">
        <f>IF($A36="","",IFERROR(TEXTJOIN(CHAR(10),TRUE,FILTER('Learning Objectives'!$D:$D,'Learning Objectives'!$A:$A="Intermediate",'Learning Objectives'!$B:$B=$A36)),""))</f>
        <v/>
      </c>
      <c r="F36" s="12" t="n"/>
      <c r="G36" s="13" t="n"/>
      <c r="H36" s="13" t="n"/>
      <c r="I36" s="12" t="n"/>
      <c r="J36" s="12" t="n"/>
      <c r="K36" s="12" t="n"/>
      <c r="L36" s="13" t="n"/>
      <c r="M36" s="13" t="n"/>
      <c r="N36" s="12" t="n"/>
    </row>
    <row r="37">
      <c r="A37" s="11" t="n"/>
      <c r="B37" s="12" t="n"/>
      <c r="C37" s="13" t="n"/>
      <c r="D37" s="12" t="n"/>
      <c r="E37" s="14">
        <f>IF($A37="","",IFERROR(TEXTJOIN(CHAR(10),TRUE,FILTER('Learning Objectives'!$D:$D,'Learning Objectives'!$A:$A="Intermediate",'Learning Objectives'!$B:$B=$A37)),""))</f>
        <v/>
      </c>
      <c r="F37" s="12" t="n"/>
      <c r="G37" s="13" t="n"/>
      <c r="H37" s="13" t="n"/>
      <c r="I37" s="12" t="n"/>
      <c r="J37" s="12" t="n"/>
      <c r="K37" s="12" t="n"/>
      <c r="L37" s="13" t="n"/>
      <c r="M37" s="13" t="n"/>
      <c r="N37" s="12" t="n"/>
    </row>
    <row r="38">
      <c r="A38" s="11" t="n"/>
      <c r="B38" s="12" t="n"/>
      <c r="C38" s="13" t="n"/>
      <c r="D38" s="12" t="n"/>
      <c r="E38" s="14">
        <f>IF($A38="","",IFERROR(TEXTJOIN(CHAR(10),TRUE,FILTER('Learning Objectives'!$D:$D,'Learning Objectives'!$A:$A="Intermediate",'Learning Objectives'!$B:$B=$A38)),""))</f>
        <v/>
      </c>
      <c r="F38" s="12" t="n"/>
      <c r="G38" s="13" t="n"/>
      <c r="H38" s="13" t="n"/>
      <c r="I38" s="12" t="n"/>
      <c r="J38" s="12" t="n"/>
      <c r="K38" s="12" t="n"/>
      <c r="L38" s="13" t="n"/>
      <c r="M38" s="13" t="n"/>
      <c r="N38" s="12" t="n"/>
    </row>
    <row r="39">
      <c r="A39" s="11" t="n"/>
      <c r="B39" s="12" t="n"/>
      <c r="C39" s="13" t="n"/>
      <c r="D39" s="12" t="n"/>
      <c r="E39" s="14">
        <f>IF($A39="","",IFERROR(TEXTJOIN(CHAR(10),TRUE,FILTER('Learning Objectives'!$D:$D,'Learning Objectives'!$A:$A="Intermediate",'Learning Objectives'!$B:$B=$A39)),""))</f>
        <v/>
      </c>
      <c r="F39" s="12" t="n"/>
      <c r="G39" s="13" t="n"/>
      <c r="H39" s="13" t="n"/>
      <c r="I39" s="12" t="n"/>
      <c r="J39" s="12" t="n"/>
      <c r="K39" s="12" t="n"/>
      <c r="L39" s="13" t="n"/>
      <c r="M39" s="13" t="n"/>
      <c r="N39" s="12" t="n"/>
    </row>
    <row r="40">
      <c r="A40" s="11" t="n"/>
      <c r="B40" s="12" t="n"/>
      <c r="C40" s="13" t="n"/>
      <c r="D40" s="12" t="n"/>
      <c r="E40" s="14">
        <f>IF($A40="","",IFERROR(TEXTJOIN(CHAR(10),TRUE,FILTER('Learning Objectives'!$D:$D,'Learning Objectives'!$A:$A="Intermediate",'Learning Objectives'!$B:$B=$A40)),""))</f>
        <v/>
      </c>
      <c r="F40" s="12" t="n"/>
      <c r="G40" s="13" t="n"/>
      <c r="H40" s="13" t="n"/>
      <c r="I40" s="12" t="n"/>
      <c r="J40" s="12" t="n"/>
      <c r="K40" s="12" t="n"/>
      <c r="L40" s="13" t="n"/>
      <c r="M40" s="13" t="n"/>
      <c r="N40" s="12" t="n"/>
    </row>
    <row r="41">
      <c r="A41" s="11" t="n"/>
      <c r="B41" s="12" t="n"/>
      <c r="C41" s="13" t="n"/>
      <c r="D41" s="12" t="n"/>
      <c r="E41" s="14">
        <f>IF($A41="","",IFERROR(TEXTJOIN(CHAR(10),TRUE,FILTER('Learning Objectives'!$D:$D,'Learning Objectives'!$A:$A="Intermediate",'Learning Objectives'!$B:$B=$A41)),""))</f>
        <v/>
      </c>
      <c r="F41" s="12" t="n"/>
      <c r="G41" s="13" t="n"/>
      <c r="H41" s="13" t="n"/>
      <c r="I41" s="12" t="n"/>
      <c r="J41" s="12" t="n"/>
      <c r="K41" s="12" t="n"/>
      <c r="L41" s="13" t="n"/>
      <c r="M41" s="13" t="n"/>
      <c r="N41" s="12" t="n"/>
    </row>
    <row r="42">
      <c r="A42" s="11" t="n"/>
      <c r="B42" s="12" t="n"/>
      <c r="C42" s="13" t="n"/>
      <c r="D42" s="12" t="n"/>
      <c r="E42" s="14">
        <f>IF($A42="","",IFERROR(TEXTJOIN(CHAR(10),TRUE,FILTER('Learning Objectives'!$D:$D,'Learning Objectives'!$A:$A="Intermediate",'Learning Objectives'!$B:$B=$A42)),""))</f>
        <v/>
      </c>
      <c r="F42" s="12" t="n"/>
      <c r="G42" s="13" t="n"/>
      <c r="H42" s="13" t="n"/>
      <c r="I42" s="12" t="n"/>
      <c r="J42" s="12" t="n"/>
      <c r="K42" s="12" t="n"/>
      <c r="L42" s="13" t="n"/>
      <c r="M42" s="13" t="n"/>
      <c r="N42" s="12" t="n"/>
    </row>
    <row r="43">
      <c r="A43" s="11" t="n"/>
      <c r="B43" s="12" t="n"/>
      <c r="C43" s="13" t="n"/>
      <c r="D43" s="12" t="n"/>
      <c r="E43" s="14">
        <f>IF($A43="","",IFERROR(TEXTJOIN(CHAR(10),TRUE,FILTER('Learning Objectives'!$D:$D,'Learning Objectives'!$A:$A="Intermediate",'Learning Objectives'!$B:$B=$A43)),""))</f>
        <v/>
      </c>
      <c r="F43" s="12" t="n"/>
      <c r="G43" s="13" t="n"/>
      <c r="H43" s="13" t="n"/>
      <c r="I43" s="12" t="n"/>
      <c r="J43" s="12" t="n"/>
      <c r="K43" s="12" t="n"/>
      <c r="L43" s="13" t="n"/>
      <c r="M43" s="13" t="n"/>
      <c r="N43" s="12" t="n"/>
    </row>
    <row r="44">
      <c r="A44" s="11" t="n"/>
      <c r="B44" s="12" t="n"/>
      <c r="C44" s="13" t="n"/>
      <c r="D44" s="12" t="n"/>
      <c r="E44" s="14">
        <f>IF($A44="","",IFERROR(TEXTJOIN(CHAR(10),TRUE,FILTER('Learning Objectives'!$D:$D,'Learning Objectives'!$A:$A="Intermediate",'Learning Objectives'!$B:$B=$A44)),""))</f>
        <v/>
      </c>
      <c r="F44" s="12" t="n"/>
      <c r="G44" s="13" t="n"/>
      <c r="H44" s="13" t="n"/>
      <c r="I44" s="12" t="n"/>
      <c r="J44" s="12" t="n"/>
      <c r="K44" s="12" t="n"/>
      <c r="L44" s="13" t="n"/>
      <c r="M44" s="13" t="n"/>
      <c r="N44" s="12" t="n"/>
    </row>
    <row r="45">
      <c r="A45" s="11" t="n"/>
      <c r="B45" s="12" t="n"/>
      <c r="C45" s="13" t="n"/>
      <c r="D45" s="12" t="n"/>
      <c r="E45" s="14">
        <f>IF($A45="","",IFERROR(TEXTJOIN(CHAR(10),TRUE,FILTER('Learning Objectives'!$D:$D,'Learning Objectives'!$A:$A="Intermediate",'Learning Objectives'!$B:$B=$A45)),""))</f>
        <v/>
      </c>
      <c r="F45" s="12" t="n"/>
      <c r="G45" s="13" t="n"/>
      <c r="H45" s="13" t="n"/>
      <c r="I45" s="12" t="n"/>
      <c r="J45" s="12" t="n"/>
      <c r="K45" s="12" t="n"/>
      <c r="L45" s="13" t="n"/>
      <c r="M45" s="13" t="n"/>
      <c r="N45" s="12" t="n"/>
    </row>
    <row r="46">
      <c r="A46" s="11" t="n"/>
      <c r="B46" s="12" t="n"/>
      <c r="C46" s="13" t="n"/>
      <c r="D46" s="12" t="n"/>
      <c r="E46" s="14">
        <f>IF($A46="","",IFERROR(TEXTJOIN(CHAR(10),TRUE,FILTER('Learning Objectives'!$D:$D,'Learning Objectives'!$A:$A="Intermediate",'Learning Objectives'!$B:$B=$A46)),""))</f>
        <v/>
      </c>
      <c r="F46" s="12" t="n"/>
      <c r="G46" s="13" t="n"/>
      <c r="H46" s="13" t="n"/>
      <c r="I46" s="12" t="n"/>
      <c r="J46" s="12" t="n"/>
      <c r="K46" s="12" t="n"/>
      <c r="L46" s="13" t="n"/>
      <c r="M46" s="13" t="n"/>
      <c r="N46" s="12" t="n"/>
    </row>
    <row r="47">
      <c r="A47" s="11" t="n"/>
      <c r="B47" s="12" t="n"/>
      <c r="C47" s="13" t="n"/>
      <c r="D47" s="12" t="n"/>
      <c r="E47" s="14">
        <f>IF($A47="","",IFERROR(TEXTJOIN(CHAR(10),TRUE,FILTER('Learning Objectives'!$D:$D,'Learning Objectives'!$A:$A="Intermediate",'Learning Objectives'!$B:$B=$A47)),""))</f>
        <v/>
      </c>
      <c r="F47" s="12" t="n"/>
      <c r="G47" s="13" t="n"/>
      <c r="H47" s="13" t="n"/>
      <c r="I47" s="12" t="n"/>
      <c r="J47" s="12" t="n"/>
      <c r="K47" s="12" t="n"/>
      <c r="L47" s="13" t="n"/>
      <c r="M47" s="13" t="n"/>
      <c r="N47" s="12" t="n"/>
    </row>
    <row r="48">
      <c r="A48" s="11" t="n"/>
      <c r="B48" s="12" t="n"/>
      <c r="C48" s="13" t="n"/>
      <c r="D48" s="12" t="n"/>
      <c r="E48" s="14">
        <f>IF($A48="","",IFERROR(TEXTJOIN(CHAR(10),TRUE,FILTER('Learning Objectives'!$D:$D,'Learning Objectives'!$A:$A="Intermediate",'Learning Objectives'!$B:$B=$A48)),""))</f>
        <v/>
      </c>
      <c r="F48" s="12" t="n"/>
      <c r="G48" s="13" t="n"/>
      <c r="H48" s="13" t="n"/>
      <c r="I48" s="12" t="n"/>
      <c r="J48" s="12" t="n"/>
      <c r="K48" s="12" t="n"/>
      <c r="L48" s="13" t="n"/>
      <c r="M48" s="13" t="n"/>
      <c r="N48" s="12" t="n"/>
    </row>
    <row r="49">
      <c r="A49" s="11" t="n"/>
      <c r="B49" s="12" t="n"/>
      <c r="C49" s="13" t="n"/>
      <c r="D49" s="12" t="n"/>
      <c r="E49" s="14">
        <f>IF($A49="","",IFERROR(TEXTJOIN(CHAR(10),TRUE,FILTER('Learning Objectives'!$D:$D,'Learning Objectives'!$A:$A="Intermediate",'Learning Objectives'!$B:$B=$A49)),""))</f>
        <v/>
      </c>
      <c r="F49" s="12" t="n"/>
      <c r="G49" s="13" t="n"/>
      <c r="H49" s="13" t="n"/>
      <c r="I49" s="12" t="n"/>
      <c r="J49" s="12" t="n"/>
      <c r="K49" s="12" t="n"/>
      <c r="L49" s="13" t="n"/>
      <c r="M49" s="13" t="n"/>
      <c r="N49" s="12" t="n"/>
    </row>
    <row r="50">
      <c r="A50" s="11" t="n"/>
      <c r="B50" s="12" t="n"/>
      <c r="C50" s="13" t="n"/>
      <c r="D50" s="12" t="n"/>
      <c r="E50" s="14">
        <f>IF($A50="","",IFERROR(TEXTJOIN(CHAR(10),TRUE,FILTER('Learning Objectives'!$D:$D,'Learning Objectives'!$A:$A="Intermediate",'Learning Objectives'!$B:$B=$A50)),""))</f>
        <v/>
      </c>
      <c r="F50" s="12" t="n"/>
      <c r="G50" s="13" t="n"/>
      <c r="H50" s="13" t="n"/>
      <c r="I50" s="12" t="n"/>
      <c r="J50" s="12" t="n"/>
      <c r="K50" s="12" t="n"/>
      <c r="L50" s="13" t="n"/>
      <c r="M50" s="13" t="n"/>
      <c r="N50" s="12" t="n"/>
    </row>
    <row r="51">
      <c r="A51" s="11" t="n"/>
      <c r="B51" s="12" t="n"/>
      <c r="C51" s="13" t="n"/>
      <c r="D51" s="12" t="n"/>
      <c r="E51" s="14">
        <f>IF($A51="","",IFERROR(TEXTJOIN(CHAR(10),TRUE,FILTER('Learning Objectives'!$D:$D,'Learning Objectives'!$A:$A="Intermediate",'Learning Objectives'!$B:$B=$A51)),""))</f>
        <v/>
      </c>
      <c r="F51" s="12" t="n"/>
      <c r="G51" s="13" t="n"/>
      <c r="H51" s="13" t="n"/>
      <c r="I51" s="12" t="n"/>
      <c r="J51" s="12" t="n"/>
      <c r="K51" s="12" t="n"/>
      <c r="L51" s="13" t="n"/>
      <c r="M51" s="13" t="n"/>
      <c r="N51" s="12" t="n"/>
    </row>
  </sheetData>
  <autoFilter ref="A1:N1"/>
  <dataValidations count="2">
    <dataValidation sqref="K2:K51" showDropDown="0" showInputMessage="0" showErrorMessage="0" allowBlank="1" error="Pick one of the listed values." type="list">
      <formula1>"Pick the right one,Match things together,Put things in order,Explore and find"</formula1>
    </dataValidation>
    <dataValidation sqref="M2:M51" showDropDown="0" showInputMessage="0" showErrorMessage="1" allowBlank="1" error="Pick one of the listed values." type="list">
      <formula1>"Draft,Ready for Review,Published"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18" customWidth="1" min="3" max="3"/>
    <col width="62" customWidth="1" min="4" max="4"/>
    <col width="42" customWidth="1" min="5" max="5"/>
    <col width="38" customWidth="1" min="6" max="6"/>
    <col width="20" customWidth="1" min="7" max="7"/>
    <col width="26" customWidth="1" min="8" max="8"/>
    <col width="38" customWidth="1" min="9" max="9"/>
    <col width="38" customWidth="1" min="10" max="10"/>
    <col width="30" customWidth="1" min="11" max="11"/>
    <col width="18" customWidth="1" min="12" max="12"/>
    <col width="18" customWidth="1" min="13" max="13"/>
    <col width="40" customWidth="1" min="14" max="14"/>
  </cols>
  <sheetData>
    <row r="1" ht="42" customHeight="1">
      <c r="A1" s="10" t="inlineStr">
        <is>
          <t>Chapter</t>
        </is>
      </c>
      <c r="B1" s="10" t="inlineStr">
        <is>
          <t>Title</t>
        </is>
      </c>
      <c r="C1" s="10" t="inlineStr">
        <is>
          <t>Bible Reference</t>
        </is>
      </c>
      <c r="D1" s="10" t="inlineStr">
        <is>
          <t>Curriculum</t>
        </is>
      </c>
      <c r="E1" s="10" t="inlineStr">
        <is>
          <t>Learning Objectives</t>
        </is>
      </c>
      <c r="F1" s="10" t="inlineStr">
        <is>
          <t>Memory Verse</t>
        </is>
      </c>
      <c r="G1" s="10" t="inlineStr">
        <is>
          <t>Memory Verse Reference</t>
        </is>
      </c>
      <c r="H1" s="10" t="inlineStr">
        <is>
          <t>Video</t>
        </is>
      </c>
      <c r="I1" s="10" t="inlineStr">
        <is>
          <t>Take Home</t>
        </is>
      </c>
      <c r="J1" s="10" t="inlineStr">
        <is>
          <t>Teaching Notes</t>
        </is>
      </c>
      <c r="K1" s="10" t="inlineStr">
        <is>
          <t>Game Suggestion</t>
        </is>
      </c>
      <c r="L1" s="10" t="inlineStr">
        <is>
          <t>Contributor</t>
        </is>
      </c>
      <c r="M1" s="10" t="inlineStr">
        <is>
          <t>Status</t>
        </is>
      </c>
      <c r="N1" s="10" t="inlineStr">
        <is>
          <t>Notes</t>
        </is>
      </c>
    </row>
    <row r="2">
      <c r="A2" s="11" t="n"/>
      <c r="B2" s="12" t="n"/>
      <c r="C2" s="13" t="n"/>
      <c r="D2" s="12" t="n"/>
      <c r="E2" s="14">
        <f>IF($A2="","",IFERROR(TEXTJOIN(CHAR(10),TRUE,FILTER('Learning Objectives'!$D:$D,'Learning Objectives'!$A:$A="Senior",'Learning Objectives'!$B:$B=$A2)),""))</f>
        <v/>
      </c>
      <c r="F2" s="12" t="n"/>
      <c r="G2" s="13" t="n"/>
      <c r="H2" s="13" t="n"/>
      <c r="I2" s="12" t="n"/>
      <c r="J2" s="12" t="n"/>
      <c r="K2" s="12" t="n"/>
      <c r="L2" s="13" t="n"/>
      <c r="M2" s="13" t="n"/>
      <c r="N2" s="12" t="n"/>
    </row>
    <row r="3">
      <c r="A3" s="11" t="n"/>
      <c r="B3" s="12" t="n"/>
      <c r="C3" s="13" t="n"/>
      <c r="D3" s="12" t="n"/>
      <c r="E3" s="14">
        <f>IF($A3="","",IFERROR(TEXTJOIN(CHAR(10),TRUE,FILTER('Learning Objectives'!$D:$D,'Learning Objectives'!$A:$A="Senior",'Learning Objectives'!$B:$B=$A3)),""))</f>
        <v/>
      </c>
      <c r="F3" s="12" t="n"/>
      <c r="G3" s="13" t="n"/>
      <c r="H3" s="13" t="n"/>
      <c r="I3" s="12" t="n"/>
      <c r="J3" s="12" t="n"/>
      <c r="K3" s="12" t="n"/>
      <c r="L3" s="13" t="n"/>
      <c r="M3" s="13" t="n"/>
      <c r="N3" s="12" t="n"/>
    </row>
    <row r="4">
      <c r="A4" s="11" t="n"/>
      <c r="B4" s="12" t="n"/>
      <c r="C4" s="13" t="n"/>
      <c r="D4" s="12" t="n"/>
      <c r="E4" s="14">
        <f>IF($A4="","",IFERROR(TEXTJOIN(CHAR(10),TRUE,FILTER('Learning Objectives'!$D:$D,'Learning Objectives'!$A:$A="Senior",'Learning Objectives'!$B:$B=$A4)),""))</f>
        <v/>
      </c>
      <c r="F4" s="12" t="n"/>
      <c r="G4" s="13" t="n"/>
      <c r="H4" s="13" t="n"/>
      <c r="I4" s="12" t="n"/>
      <c r="J4" s="12" t="n"/>
      <c r="K4" s="12" t="n"/>
      <c r="L4" s="13" t="n"/>
      <c r="M4" s="13" t="n"/>
      <c r="N4" s="12" t="n"/>
    </row>
    <row r="5">
      <c r="A5" s="11" t="n"/>
      <c r="B5" s="12" t="n"/>
      <c r="C5" s="13" t="n"/>
      <c r="D5" s="12" t="n"/>
      <c r="E5" s="14">
        <f>IF($A5="","",IFERROR(TEXTJOIN(CHAR(10),TRUE,FILTER('Learning Objectives'!$D:$D,'Learning Objectives'!$A:$A="Senior",'Learning Objectives'!$B:$B=$A5)),""))</f>
        <v/>
      </c>
      <c r="F5" s="12" t="n"/>
      <c r="G5" s="13" t="n"/>
      <c r="H5" s="13" t="n"/>
      <c r="I5" s="12" t="n"/>
      <c r="J5" s="12" t="n"/>
      <c r="K5" s="12" t="n"/>
      <c r="L5" s="13" t="n"/>
      <c r="M5" s="13" t="n"/>
      <c r="N5" s="12" t="n"/>
    </row>
    <row r="6">
      <c r="A6" s="11" t="n"/>
      <c r="B6" s="12" t="n"/>
      <c r="C6" s="13" t="n"/>
      <c r="D6" s="12" t="n"/>
      <c r="E6" s="14">
        <f>IF($A6="","",IFERROR(TEXTJOIN(CHAR(10),TRUE,FILTER('Learning Objectives'!$D:$D,'Learning Objectives'!$A:$A="Senior",'Learning Objectives'!$B:$B=$A6)),""))</f>
        <v/>
      </c>
      <c r="F6" s="12" t="n"/>
      <c r="G6" s="13" t="n"/>
      <c r="H6" s="13" t="n"/>
      <c r="I6" s="12" t="n"/>
      <c r="J6" s="12" t="n"/>
      <c r="K6" s="12" t="n"/>
      <c r="L6" s="13" t="n"/>
      <c r="M6" s="13" t="n"/>
      <c r="N6" s="12" t="n"/>
    </row>
    <row r="7">
      <c r="A7" s="11" t="n"/>
      <c r="B7" s="12" t="n"/>
      <c r="C7" s="13" t="n"/>
      <c r="D7" s="12" t="n"/>
      <c r="E7" s="14">
        <f>IF($A7="","",IFERROR(TEXTJOIN(CHAR(10),TRUE,FILTER('Learning Objectives'!$D:$D,'Learning Objectives'!$A:$A="Senior",'Learning Objectives'!$B:$B=$A7)),""))</f>
        <v/>
      </c>
      <c r="F7" s="12" t="n"/>
      <c r="G7" s="13" t="n"/>
      <c r="H7" s="13" t="n"/>
      <c r="I7" s="12" t="n"/>
      <c r="J7" s="12" t="n"/>
      <c r="K7" s="12" t="n"/>
      <c r="L7" s="13" t="n"/>
      <c r="M7" s="13" t="n"/>
      <c r="N7" s="12" t="n"/>
    </row>
    <row r="8">
      <c r="A8" s="11" t="n"/>
      <c r="B8" s="12" t="n"/>
      <c r="C8" s="13" t="n"/>
      <c r="D8" s="12" t="n"/>
      <c r="E8" s="14">
        <f>IF($A8="","",IFERROR(TEXTJOIN(CHAR(10),TRUE,FILTER('Learning Objectives'!$D:$D,'Learning Objectives'!$A:$A="Senior",'Learning Objectives'!$B:$B=$A8)),""))</f>
        <v/>
      </c>
      <c r="F8" s="12" t="n"/>
      <c r="G8" s="13" t="n"/>
      <c r="H8" s="13" t="n"/>
      <c r="I8" s="12" t="n"/>
      <c r="J8" s="12" t="n"/>
      <c r="K8" s="12" t="n"/>
      <c r="L8" s="13" t="n"/>
      <c r="M8" s="13" t="n"/>
      <c r="N8" s="12" t="n"/>
    </row>
    <row r="9">
      <c r="A9" s="11" t="n"/>
      <c r="B9" s="12" t="n"/>
      <c r="C9" s="13" t="n"/>
      <c r="D9" s="12" t="n"/>
      <c r="E9" s="14">
        <f>IF($A9="","",IFERROR(TEXTJOIN(CHAR(10),TRUE,FILTER('Learning Objectives'!$D:$D,'Learning Objectives'!$A:$A="Senior",'Learning Objectives'!$B:$B=$A9)),""))</f>
        <v/>
      </c>
      <c r="F9" s="12" t="n"/>
      <c r="G9" s="13" t="n"/>
      <c r="H9" s="13" t="n"/>
      <c r="I9" s="12" t="n"/>
      <c r="J9" s="12" t="n"/>
      <c r="K9" s="12" t="n"/>
      <c r="L9" s="13" t="n"/>
      <c r="M9" s="13" t="n"/>
      <c r="N9" s="12" t="n"/>
    </row>
    <row r="10">
      <c r="A10" s="11" t="n"/>
      <c r="B10" s="12" t="n"/>
      <c r="C10" s="13" t="n"/>
      <c r="D10" s="12" t="n"/>
      <c r="E10" s="14">
        <f>IF($A10="","",IFERROR(TEXTJOIN(CHAR(10),TRUE,FILTER('Learning Objectives'!$D:$D,'Learning Objectives'!$A:$A="Senior",'Learning Objectives'!$B:$B=$A10)),""))</f>
        <v/>
      </c>
      <c r="F10" s="12" t="n"/>
      <c r="G10" s="13" t="n"/>
      <c r="H10" s="13" t="n"/>
      <c r="I10" s="12" t="n"/>
      <c r="J10" s="12" t="n"/>
      <c r="K10" s="12" t="n"/>
      <c r="L10" s="13" t="n"/>
      <c r="M10" s="13" t="n"/>
      <c r="N10" s="12" t="n"/>
    </row>
    <row r="11">
      <c r="A11" s="11" t="n"/>
      <c r="B11" s="12" t="n"/>
      <c r="C11" s="13" t="n"/>
      <c r="D11" s="12" t="n"/>
      <c r="E11" s="14">
        <f>IF($A11="","",IFERROR(TEXTJOIN(CHAR(10),TRUE,FILTER('Learning Objectives'!$D:$D,'Learning Objectives'!$A:$A="Senior",'Learning Objectives'!$B:$B=$A11)),""))</f>
        <v/>
      </c>
      <c r="F11" s="12" t="n"/>
      <c r="G11" s="13" t="n"/>
      <c r="H11" s="13" t="n"/>
      <c r="I11" s="12" t="n"/>
      <c r="J11" s="12" t="n"/>
      <c r="K11" s="12" t="n"/>
      <c r="L11" s="13" t="n"/>
      <c r="M11" s="13" t="n"/>
      <c r="N11" s="12" t="n"/>
    </row>
    <row r="12">
      <c r="A12" s="11" t="n"/>
      <c r="B12" s="12" t="n"/>
      <c r="C12" s="13" t="n"/>
      <c r="D12" s="12" t="n"/>
      <c r="E12" s="14">
        <f>IF($A12="","",IFERROR(TEXTJOIN(CHAR(10),TRUE,FILTER('Learning Objectives'!$D:$D,'Learning Objectives'!$A:$A="Senior",'Learning Objectives'!$B:$B=$A12)),""))</f>
        <v/>
      </c>
      <c r="F12" s="12" t="n"/>
      <c r="G12" s="13" t="n"/>
      <c r="H12" s="13" t="n"/>
      <c r="I12" s="12" t="n"/>
      <c r="J12" s="12" t="n"/>
      <c r="K12" s="12" t="n"/>
      <c r="L12" s="13" t="n"/>
      <c r="M12" s="13" t="n"/>
      <c r="N12" s="12" t="n"/>
    </row>
    <row r="13">
      <c r="A13" s="11" t="n"/>
      <c r="B13" s="12" t="n"/>
      <c r="C13" s="13" t="n"/>
      <c r="D13" s="12" t="n"/>
      <c r="E13" s="14">
        <f>IF($A13="","",IFERROR(TEXTJOIN(CHAR(10),TRUE,FILTER('Learning Objectives'!$D:$D,'Learning Objectives'!$A:$A="Senior",'Learning Objectives'!$B:$B=$A13)),""))</f>
        <v/>
      </c>
      <c r="F13" s="12" t="n"/>
      <c r="G13" s="13" t="n"/>
      <c r="H13" s="13" t="n"/>
      <c r="I13" s="12" t="n"/>
      <c r="J13" s="12" t="n"/>
      <c r="K13" s="12" t="n"/>
      <c r="L13" s="13" t="n"/>
      <c r="M13" s="13" t="n"/>
      <c r="N13" s="12" t="n"/>
    </row>
    <row r="14">
      <c r="A14" s="11" t="n"/>
      <c r="B14" s="12" t="n"/>
      <c r="C14" s="13" t="n"/>
      <c r="D14" s="12" t="n"/>
      <c r="E14" s="14">
        <f>IF($A14="","",IFERROR(TEXTJOIN(CHAR(10),TRUE,FILTER('Learning Objectives'!$D:$D,'Learning Objectives'!$A:$A="Senior",'Learning Objectives'!$B:$B=$A14)),""))</f>
        <v/>
      </c>
      <c r="F14" s="12" t="n"/>
      <c r="G14" s="13" t="n"/>
      <c r="H14" s="13" t="n"/>
      <c r="I14" s="12" t="n"/>
      <c r="J14" s="12" t="n"/>
      <c r="K14" s="12" t="n"/>
      <c r="L14" s="13" t="n"/>
      <c r="M14" s="13" t="n"/>
      <c r="N14" s="12" t="n"/>
    </row>
    <row r="15">
      <c r="A15" s="11" t="n"/>
      <c r="B15" s="12" t="n"/>
      <c r="C15" s="13" t="n"/>
      <c r="D15" s="12" t="n"/>
      <c r="E15" s="14">
        <f>IF($A15="","",IFERROR(TEXTJOIN(CHAR(10),TRUE,FILTER('Learning Objectives'!$D:$D,'Learning Objectives'!$A:$A="Senior",'Learning Objectives'!$B:$B=$A15)),""))</f>
        <v/>
      </c>
      <c r="F15" s="12" t="n"/>
      <c r="G15" s="13" t="n"/>
      <c r="H15" s="13" t="n"/>
      <c r="I15" s="12" t="n"/>
      <c r="J15" s="12" t="n"/>
      <c r="K15" s="12" t="n"/>
      <c r="L15" s="13" t="n"/>
      <c r="M15" s="13" t="n"/>
      <c r="N15" s="12" t="n"/>
    </row>
    <row r="16">
      <c r="A16" s="11" t="n"/>
      <c r="B16" s="12" t="n"/>
      <c r="C16" s="13" t="n"/>
      <c r="D16" s="12" t="n"/>
      <c r="E16" s="14">
        <f>IF($A16="","",IFERROR(TEXTJOIN(CHAR(10),TRUE,FILTER('Learning Objectives'!$D:$D,'Learning Objectives'!$A:$A="Senior",'Learning Objectives'!$B:$B=$A16)),""))</f>
        <v/>
      </c>
      <c r="F16" s="12" t="n"/>
      <c r="G16" s="13" t="n"/>
      <c r="H16" s="13" t="n"/>
      <c r="I16" s="12" t="n"/>
      <c r="J16" s="12" t="n"/>
      <c r="K16" s="12" t="n"/>
      <c r="L16" s="13" t="n"/>
      <c r="M16" s="13" t="n"/>
      <c r="N16" s="12" t="n"/>
    </row>
    <row r="17">
      <c r="A17" s="11" t="n"/>
      <c r="B17" s="12" t="n"/>
      <c r="C17" s="13" t="n"/>
      <c r="D17" s="12" t="n"/>
      <c r="E17" s="14">
        <f>IF($A17="","",IFERROR(TEXTJOIN(CHAR(10),TRUE,FILTER('Learning Objectives'!$D:$D,'Learning Objectives'!$A:$A="Senior",'Learning Objectives'!$B:$B=$A17)),""))</f>
        <v/>
      </c>
      <c r="F17" s="12" t="n"/>
      <c r="G17" s="13" t="n"/>
      <c r="H17" s="13" t="n"/>
      <c r="I17" s="12" t="n"/>
      <c r="J17" s="12" t="n"/>
      <c r="K17" s="12" t="n"/>
      <c r="L17" s="13" t="n"/>
      <c r="M17" s="13" t="n"/>
      <c r="N17" s="12" t="n"/>
    </row>
    <row r="18">
      <c r="A18" s="11" t="n"/>
      <c r="B18" s="12" t="n"/>
      <c r="C18" s="13" t="n"/>
      <c r="D18" s="12" t="n"/>
      <c r="E18" s="14">
        <f>IF($A18="","",IFERROR(TEXTJOIN(CHAR(10),TRUE,FILTER('Learning Objectives'!$D:$D,'Learning Objectives'!$A:$A="Senior",'Learning Objectives'!$B:$B=$A18)),""))</f>
        <v/>
      </c>
      <c r="F18" s="12" t="n"/>
      <c r="G18" s="13" t="n"/>
      <c r="H18" s="13" t="n"/>
      <c r="I18" s="12" t="n"/>
      <c r="J18" s="12" t="n"/>
      <c r="K18" s="12" t="n"/>
      <c r="L18" s="13" t="n"/>
      <c r="M18" s="13" t="n"/>
      <c r="N18" s="12" t="n"/>
    </row>
    <row r="19">
      <c r="A19" s="11" t="n"/>
      <c r="B19" s="12" t="n"/>
      <c r="C19" s="13" t="n"/>
      <c r="D19" s="12" t="n"/>
      <c r="E19" s="14">
        <f>IF($A19="","",IFERROR(TEXTJOIN(CHAR(10),TRUE,FILTER('Learning Objectives'!$D:$D,'Learning Objectives'!$A:$A="Senior",'Learning Objectives'!$B:$B=$A19)),""))</f>
        <v/>
      </c>
      <c r="F19" s="12" t="n"/>
      <c r="G19" s="13" t="n"/>
      <c r="H19" s="13" t="n"/>
      <c r="I19" s="12" t="n"/>
      <c r="J19" s="12" t="n"/>
      <c r="K19" s="12" t="n"/>
      <c r="L19" s="13" t="n"/>
      <c r="M19" s="13" t="n"/>
      <c r="N19" s="12" t="n"/>
    </row>
    <row r="20">
      <c r="A20" s="11" t="n"/>
      <c r="B20" s="12" t="n"/>
      <c r="C20" s="13" t="n"/>
      <c r="D20" s="12" t="n"/>
      <c r="E20" s="14">
        <f>IF($A20="","",IFERROR(TEXTJOIN(CHAR(10),TRUE,FILTER('Learning Objectives'!$D:$D,'Learning Objectives'!$A:$A="Senior",'Learning Objectives'!$B:$B=$A20)),""))</f>
        <v/>
      </c>
      <c r="F20" s="12" t="n"/>
      <c r="G20" s="13" t="n"/>
      <c r="H20" s="13" t="n"/>
      <c r="I20" s="12" t="n"/>
      <c r="J20" s="12" t="n"/>
      <c r="K20" s="12" t="n"/>
      <c r="L20" s="13" t="n"/>
      <c r="M20" s="13" t="n"/>
      <c r="N20" s="12" t="n"/>
    </row>
    <row r="21">
      <c r="A21" s="11" t="n"/>
      <c r="B21" s="12" t="n"/>
      <c r="C21" s="13" t="n"/>
      <c r="D21" s="12" t="n"/>
      <c r="E21" s="14">
        <f>IF($A21="","",IFERROR(TEXTJOIN(CHAR(10),TRUE,FILTER('Learning Objectives'!$D:$D,'Learning Objectives'!$A:$A="Senior",'Learning Objectives'!$B:$B=$A21)),""))</f>
        <v/>
      </c>
      <c r="F21" s="12" t="n"/>
      <c r="G21" s="13" t="n"/>
      <c r="H21" s="13" t="n"/>
      <c r="I21" s="12" t="n"/>
      <c r="J21" s="12" t="n"/>
      <c r="K21" s="12" t="n"/>
      <c r="L21" s="13" t="n"/>
      <c r="M21" s="13" t="n"/>
      <c r="N21" s="12" t="n"/>
    </row>
    <row r="22">
      <c r="A22" s="11" t="n"/>
      <c r="B22" s="12" t="n"/>
      <c r="C22" s="13" t="n"/>
      <c r="D22" s="12" t="n"/>
      <c r="E22" s="14">
        <f>IF($A22="","",IFERROR(TEXTJOIN(CHAR(10),TRUE,FILTER('Learning Objectives'!$D:$D,'Learning Objectives'!$A:$A="Senior",'Learning Objectives'!$B:$B=$A22)),""))</f>
        <v/>
      </c>
      <c r="F22" s="12" t="n"/>
      <c r="G22" s="13" t="n"/>
      <c r="H22" s="13" t="n"/>
      <c r="I22" s="12" t="n"/>
      <c r="J22" s="12" t="n"/>
      <c r="K22" s="12" t="n"/>
      <c r="L22" s="13" t="n"/>
      <c r="M22" s="13" t="n"/>
      <c r="N22" s="12" t="n"/>
    </row>
    <row r="23">
      <c r="A23" s="11" t="n"/>
      <c r="B23" s="12" t="n"/>
      <c r="C23" s="13" t="n"/>
      <c r="D23" s="12" t="n"/>
      <c r="E23" s="14">
        <f>IF($A23="","",IFERROR(TEXTJOIN(CHAR(10),TRUE,FILTER('Learning Objectives'!$D:$D,'Learning Objectives'!$A:$A="Senior",'Learning Objectives'!$B:$B=$A23)),""))</f>
        <v/>
      </c>
      <c r="F23" s="12" t="n"/>
      <c r="G23" s="13" t="n"/>
      <c r="H23" s="13" t="n"/>
      <c r="I23" s="12" t="n"/>
      <c r="J23" s="12" t="n"/>
      <c r="K23" s="12" t="n"/>
      <c r="L23" s="13" t="n"/>
      <c r="M23" s="13" t="n"/>
      <c r="N23" s="12" t="n"/>
    </row>
    <row r="24">
      <c r="A24" s="11" t="n"/>
      <c r="B24" s="12" t="n"/>
      <c r="C24" s="13" t="n"/>
      <c r="D24" s="12" t="n"/>
      <c r="E24" s="14">
        <f>IF($A24="","",IFERROR(TEXTJOIN(CHAR(10),TRUE,FILTER('Learning Objectives'!$D:$D,'Learning Objectives'!$A:$A="Senior",'Learning Objectives'!$B:$B=$A24)),""))</f>
        <v/>
      </c>
      <c r="F24" s="12" t="n"/>
      <c r="G24" s="13" t="n"/>
      <c r="H24" s="13" t="n"/>
      <c r="I24" s="12" t="n"/>
      <c r="J24" s="12" t="n"/>
      <c r="K24" s="12" t="n"/>
      <c r="L24" s="13" t="n"/>
      <c r="M24" s="13" t="n"/>
      <c r="N24" s="12" t="n"/>
    </row>
    <row r="25">
      <c r="A25" s="11" t="n"/>
      <c r="B25" s="12" t="n"/>
      <c r="C25" s="13" t="n"/>
      <c r="D25" s="12" t="n"/>
      <c r="E25" s="14">
        <f>IF($A25="","",IFERROR(TEXTJOIN(CHAR(10),TRUE,FILTER('Learning Objectives'!$D:$D,'Learning Objectives'!$A:$A="Senior",'Learning Objectives'!$B:$B=$A25)),""))</f>
        <v/>
      </c>
      <c r="F25" s="12" t="n"/>
      <c r="G25" s="13" t="n"/>
      <c r="H25" s="13" t="n"/>
      <c r="I25" s="12" t="n"/>
      <c r="J25" s="12" t="n"/>
      <c r="K25" s="12" t="n"/>
      <c r="L25" s="13" t="n"/>
      <c r="M25" s="13" t="n"/>
      <c r="N25" s="12" t="n"/>
    </row>
    <row r="26">
      <c r="A26" s="11" t="n"/>
      <c r="B26" s="12" t="n"/>
      <c r="C26" s="13" t="n"/>
      <c r="D26" s="12" t="n"/>
      <c r="E26" s="14">
        <f>IF($A26="","",IFERROR(TEXTJOIN(CHAR(10),TRUE,FILTER('Learning Objectives'!$D:$D,'Learning Objectives'!$A:$A="Senior",'Learning Objectives'!$B:$B=$A26)),""))</f>
        <v/>
      </c>
      <c r="F26" s="12" t="n"/>
      <c r="G26" s="13" t="n"/>
      <c r="H26" s="13" t="n"/>
      <c r="I26" s="12" t="n"/>
      <c r="J26" s="12" t="n"/>
      <c r="K26" s="12" t="n"/>
      <c r="L26" s="13" t="n"/>
      <c r="M26" s="13" t="n"/>
      <c r="N26" s="12" t="n"/>
    </row>
    <row r="27">
      <c r="A27" s="11" t="n"/>
      <c r="B27" s="12" t="n"/>
      <c r="C27" s="13" t="n"/>
      <c r="D27" s="12" t="n"/>
      <c r="E27" s="14">
        <f>IF($A27="","",IFERROR(TEXTJOIN(CHAR(10),TRUE,FILTER('Learning Objectives'!$D:$D,'Learning Objectives'!$A:$A="Senior",'Learning Objectives'!$B:$B=$A27)),""))</f>
        <v/>
      </c>
      <c r="F27" s="12" t="n"/>
      <c r="G27" s="13" t="n"/>
      <c r="H27" s="13" t="n"/>
      <c r="I27" s="12" t="n"/>
      <c r="J27" s="12" t="n"/>
      <c r="K27" s="12" t="n"/>
      <c r="L27" s="13" t="n"/>
      <c r="M27" s="13" t="n"/>
      <c r="N27" s="12" t="n"/>
    </row>
    <row r="28">
      <c r="A28" s="11" t="n"/>
      <c r="B28" s="12" t="n"/>
      <c r="C28" s="13" t="n"/>
      <c r="D28" s="12" t="n"/>
      <c r="E28" s="14">
        <f>IF($A28="","",IFERROR(TEXTJOIN(CHAR(10),TRUE,FILTER('Learning Objectives'!$D:$D,'Learning Objectives'!$A:$A="Senior",'Learning Objectives'!$B:$B=$A28)),""))</f>
        <v/>
      </c>
      <c r="F28" s="12" t="n"/>
      <c r="G28" s="13" t="n"/>
      <c r="H28" s="13" t="n"/>
      <c r="I28" s="12" t="n"/>
      <c r="J28" s="12" t="n"/>
      <c r="K28" s="12" t="n"/>
      <c r="L28" s="13" t="n"/>
      <c r="M28" s="13" t="n"/>
      <c r="N28" s="12" t="n"/>
    </row>
    <row r="29">
      <c r="A29" s="11" t="n"/>
      <c r="B29" s="12" t="n"/>
      <c r="C29" s="13" t="n"/>
      <c r="D29" s="12" t="n"/>
      <c r="E29" s="14">
        <f>IF($A29="","",IFERROR(TEXTJOIN(CHAR(10),TRUE,FILTER('Learning Objectives'!$D:$D,'Learning Objectives'!$A:$A="Senior",'Learning Objectives'!$B:$B=$A29)),""))</f>
        <v/>
      </c>
      <c r="F29" s="12" t="n"/>
      <c r="G29" s="13" t="n"/>
      <c r="H29" s="13" t="n"/>
      <c r="I29" s="12" t="n"/>
      <c r="J29" s="12" t="n"/>
      <c r="K29" s="12" t="n"/>
      <c r="L29" s="13" t="n"/>
      <c r="M29" s="13" t="n"/>
      <c r="N29" s="12" t="n"/>
    </row>
    <row r="30">
      <c r="A30" s="11" t="n"/>
      <c r="B30" s="12" t="n"/>
      <c r="C30" s="13" t="n"/>
      <c r="D30" s="12" t="n"/>
      <c r="E30" s="14">
        <f>IF($A30="","",IFERROR(TEXTJOIN(CHAR(10),TRUE,FILTER('Learning Objectives'!$D:$D,'Learning Objectives'!$A:$A="Senior",'Learning Objectives'!$B:$B=$A30)),""))</f>
        <v/>
      </c>
      <c r="F30" s="12" t="n"/>
      <c r="G30" s="13" t="n"/>
      <c r="H30" s="13" t="n"/>
      <c r="I30" s="12" t="n"/>
      <c r="J30" s="12" t="n"/>
      <c r="K30" s="12" t="n"/>
      <c r="L30" s="13" t="n"/>
      <c r="M30" s="13" t="n"/>
      <c r="N30" s="12" t="n"/>
    </row>
    <row r="31">
      <c r="A31" s="11" t="n"/>
      <c r="B31" s="12" t="n"/>
      <c r="C31" s="13" t="n"/>
      <c r="D31" s="12" t="n"/>
      <c r="E31" s="14">
        <f>IF($A31="","",IFERROR(TEXTJOIN(CHAR(10),TRUE,FILTER('Learning Objectives'!$D:$D,'Learning Objectives'!$A:$A="Senior",'Learning Objectives'!$B:$B=$A31)),""))</f>
        <v/>
      </c>
      <c r="F31" s="12" t="n"/>
      <c r="G31" s="13" t="n"/>
      <c r="H31" s="13" t="n"/>
      <c r="I31" s="12" t="n"/>
      <c r="J31" s="12" t="n"/>
      <c r="K31" s="12" t="n"/>
      <c r="L31" s="13" t="n"/>
      <c r="M31" s="13" t="n"/>
      <c r="N31" s="12" t="n"/>
    </row>
    <row r="32">
      <c r="A32" s="11" t="n"/>
      <c r="B32" s="12" t="n"/>
      <c r="C32" s="13" t="n"/>
      <c r="D32" s="12" t="n"/>
      <c r="E32" s="14">
        <f>IF($A32="","",IFERROR(TEXTJOIN(CHAR(10),TRUE,FILTER('Learning Objectives'!$D:$D,'Learning Objectives'!$A:$A="Senior",'Learning Objectives'!$B:$B=$A32)),""))</f>
        <v/>
      </c>
      <c r="F32" s="12" t="n"/>
      <c r="G32" s="13" t="n"/>
      <c r="H32" s="13" t="n"/>
      <c r="I32" s="12" t="n"/>
      <c r="J32" s="12" t="n"/>
      <c r="K32" s="12" t="n"/>
      <c r="L32" s="13" t="n"/>
      <c r="M32" s="13" t="n"/>
      <c r="N32" s="12" t="n"/>
    </row>
    <row r="33">
      <c r="A33" s="11" t="n"/>
      <c r="B33" s="12" t="n"/>
      <c r="C33" s="13" t="n"/>
      <c r="D33" s="12" t="n"/>
      <c r="E33" s="14">
        <f>IF($A33="","",IFERROR(TEXTJOIN(CHAR(10),TRUE,FILTER('Learning Objectives'!$D:$D,'Learning Objectives'!$A:$A="Senior",'Learning Objectives'!$B:$B=$A33)),""))</f>
        <v/>
      </c>
      <c r="F33" s="12" t="n"/>
      <c r="G33" s="13" t="n"/>
      <c r="H33" s="13" t="n"/>
      <c r="I33" s="12" t="n"/>
      <c r="J33" s="12" t="n"/>
      <c r="K33" s="12" t="n"/>
      <c r="L33" s="13" t="n"/>
      <c r="M33" s="13" t="n"/>
      <c r="N33" s="12" t="n"/>
    </row>
    <row r="34">
      <c r="A34" s="11" t="n"/>
      <c r="B34" s="12" t="n"/>
      <c r="C34" s="13" t="n"/>
      <c r="D34" s="12" t="n"/>
      <c r="E34" s="14">
        <f>IF($A34="","",IFERROR(TEXTJOIN(CHAR(10),TRUE,FILTER('Learning Objectives'!$D:$D,'Learning Objectives'!$A:$A="Senior",'Learning Objectives'!$B:$B=$A34)),""))</f>
        <v/>
      </c>
      <c r="F34" s="12" t="n"/>
      <c r="G34" s="13" t="n"/>
      <c r="H34" s="13" t="n"/>
      <c r="I34" s="12" t="n"/>
      <c r="J34" s="12" t="n"/>
      <c r="K34" s="12" t="n"/>
      <c r="L34" s="13" t="n"/>
      <c r="M34" s="13" t="n"/>
      <c r="N34" s="12" t="n"/>
    </row>
    <row r="35">
      <c r="A35" s="11" t="n"/>
      <c r="B35" s="12" t="n"/>
      <c r="C35" s="13" t="n"/>
      <c r="D35" s="12" t="n"/>
      <c r="E35" s="14">
        <f>IF($A35="","",IFERROR(TEXTJOIN(CHAR(10),TRUE,FILTER('Learning Objectives'!$D:$D,'Learning Objectives'!$A:$A="Senior",'Learning Objectives'!$B:$B=$A35)),""))</f>
        <v/>
      </c>
      <c r="F35" s="12" t="n"/>
      <c r="G35" s="13" t="n"/>
      <c r="H35" s="13" t="n"/>
      <c r="I35" s="12" t="n"/>
      <c r="J35" s="12" t="n"/>
      <c r="K35" s="12" t="n"/>
      <c r="L35" s="13" t="n"/>
      <c r="M35" s="13" t="n"/>
      <c r="N35" s="12" t="n"/>
    </row>
    <row r="36">
      <c r="A36" s="11" t="n"/>
      <c r="B36" s="12" t="n"/>
      <c r="C36" s="13" t="n"/>
      <c r="D36" s="12" t="n"/>
      <c r="E36" s="14">
        <f>IF($A36="","",IFERROR(TEXTJOIN(CHAR(10),TRUE,FILTER('Learning Objectives'!$D:$D,'Learning Objectives'!$A:$A="Senior",'Learning Objectives'!$B:$B=$A36)),""))</f>
        <v/>
      </c>
      <c r="F36" s="12" t="n"/>
      <c r="G36" s="13" t="n"/>
      <c r="H36" s="13" t="n"/>
      <c r="I36" s="12" t="n"/>
      <c r="J36" s="12" t="n"/>
      <c r="K36" s="12" t="n"/>
      <c r="L36" s="13" t="n"/>
      <c r="M36" s="13" t="n"/>
      <c r="N36" s="12" t="n"/>
    </row>
    <row r="37">
      <c r="A37" s="11" t="n"/>
      <c r="B37" s="12" t="n"/>
      <c r="C37" s="13" t="n"/>
      <c r="D37" s="12" t="n"/>
      <c r="E37" s="14">
        <f>IF($A37="","",IFERROR(TEXTJOIN(CHAR(10),TRUE,FILTER('Learning Objectives'!$D:$D,'Learning Objectives'!$A:$A="Senior",'Learning Objectives'!$B:$B=$A37)),""))</f>
        <v/>
      </c>
      <c r="F37" s="12" t="n"/>
      <c r="G37" s="13" t="n"/>
      <c r="H37" s="13" t="n"/>
      <c r="I37" s="12" t="n"/>
      <c r="J37" s="12" t="n"/>
      <c r="K37" s="12" t="n"/>
      <c r="L37" s="13" t="n"/>
      <c r="M37" s="13" t="n"/>
      <c r="N37" s="12" t="n"/>
    </row>
    <row r="38">
      <c r="A38" s="11" t="n"/>
      <c r="B38" s="12" t="n"/>
      <c r="C38" s="13" t="n"/>
      <c r="D38" s="12" t="n"/>
      <c r="E38" s="14">
        <f>IF($A38="","",IFERROR(TEXTJOIN(CHAR(10),TRUE,FILTER('Learning Objectives'!$D:$D,'Learning Objectives'!$A:$A="Senior",'Learning Objectives'!$B:$B=$A38)),""))</f>
        <v/>
      </c>
      <c r="F38" s="12" t="n"/>
      <c r="G38" s="13" t="n"/>
      <c r="H38" s="13" t="n"/>
      <c r="I38" s="12" t="n"/>
      <c r="J38" s="12" t="n"/>
      <c r="K38" s="12" t="n"/>
      <c r="L38" s="13" t="n"/>
      <c r="M38" s="13" t="n"/>
      <c r="N38" s="12" t="n"/>
    </row>
    <row r="39">
      <c r="A39" s="11" t="n"/>
      <c r="B39" s="12" t="n"/>
      <c r="C39" s="13" t="n"/>
      <c r="D39" s="12" t="n"/>
      <c r="E39" s="14">
        <f>IF($A39="","",IFERROR(TEXTJOIN(CHAR(10),TRUE,FILTER('Learning Objectives'!$D:$D,'Learning Objectives'!$A:$A="Senior",'Learning Objectives'!$B:$B=$A39)),""))</f>
        <v/>
      </c>
      <c r="F39" s="12" t="n"/>
      <c r="G39" s="13" t="n"/>
      <c r="H39" s="13" t="n"/>
      <c r="I39" s="12" t="n"/>
      <c r="J39" s="12" t="n"/>
      <c r="K39" s="12" t="n"/>
      <c r="L39" s="13" t="n"/>
      <c r="M39" s="13" t="n"/>
      <c r="N39" s="12" t="n"/>
    </row>
    <row r="40">
      <c r="A40" s="11" t="n"/>
      <c r="B40" s="12" t="n"/>
      <c r="C40" s="13" t="n"/>
      <c r="D40" s="12" t="n"/>
      <c r="E40" s="14">
        <f>IF($A40="","",IFERROR(TEXTJOIN(CHAR(10),TRUE,FILTER('Learning Objectives'!$D:$D,'Learning Objectives'!$A:$A="Senior",'Learning Objectives'!$B:$B=$A40)),""))</f>
        <v/>
      </c>
      <c r="F40" s="12" t="n"/>
      <c r="G40" s="13" t="n"/>
      <c r="H40" s="13" t="n"/>
      <c r="I40" s="12" t="n"/>
      <c r="J40" s="12" t="n"/>
      <c r="K40" s="12" t="n"/>
      <c r="L40" s="13" t="n"/>
      <c r="M40" s="13" t="n"/>
      <c r="N40" s="12" t="n"/>
    </row>
    <row r="41">
      <c r="A41" s="11" t="n"/>
      <c r="B41" s="12" t="n"/>
      <c r="C41" s="13" t="n"/>
      <c r="D41" s="12" t="n"/>
      <c r="E41" s="14">
        <f>IF($A41="","",IFERROR(TEXTJOIN(CHAR(10),TRUE,FILTER('Learning Objectives'!$D:$D,'Learning Objectives'!$A:$A="Senior",'Learning Objectives'!$B:$B=$A41)),""))</f>
        <v/>
      </c>
      <c r="F41" s="12" t="n"/>
      <c r="G41" s="13" t="n"/>
      <c r="H41" s="13" t="n"/>
      <c r="I41" s="12" t="n"/>
      <c r="J41" s="12" t="n"/>
      <c r="K41" s="12" t="n"/>
      <c r="L41" s="13" t="n"/>
      <c r="M41" s="13" t="n"/>
      <c r="N41" s="12" t="n"/>
    </row>
    <row r="42">
      <c r="A42" s="11" t="n"/>
      <c r="B42" s="12" t="n"/>
      <c r="C42" s="13" t="n"/>
      <c r="D42" s="12" t="n"/>
      <c r="E42" s="14">
        <f>IF($A42="","",IFERROR(TEXTJOIN(CHAR(10),TRUE,FILTER('Learning Objectives'!$D:$D,'Learning Objectives'!$A:$A="Senior",'Learning Objectives'!$B:$B=$A42)),""))</f>
        <v/>
      </c>
      <c r="F42" s="12" t="n"/>
      <c r="G42" s="13" t="n"/>
      <c r="H42" s="13" t="n"/>
      <c r="I42" s="12" t="n"/>
      <c r="J42" s="12" t="n"/>
      <c r="K42" s="12" t="n"/>
      <c r="L42" s="13" t="n"/>
      <c r="M42" s="13" t="n"/>
      <c r="N42" s="12" t="n"/>
    </row>
    <row r="43">
      <c r="A43" s="11" t="n"/>
      <c r="B43" s="12" t="n"/>
      <c r="C43" s="13" t="n"/>
      <c r="D43" s="12" t="n"/>
      <c r="E43" s="14">
        <f>IF($A43="","",IFERROR(TEXTJOIN(CHAR(10),TRUE,FILTER('Learning Objectives'!$D:$D,'Learning Objectives'!$A:$A="Senior",'Learning Objectives'!$B:$B=$A43)),""))</f>
        <v/>
      </c>
      <c r="F43" s="12" t="n"/>
      <c r="G43" s="13" t="n"/>
      <c r="H43" s="13" t="n"/>
      <c r="I43" s="12" t="n"/>
      <c r="J43" s="12" t="n"/>
      <c r="K43" s="12" t="n"/>
      <c r="L43" s="13" t="n"/>
      <c r="M43" s="13" t="n"/>
      <c r="N43" s="12" t="n"/>
    </row>
    <row r="44">
      <c r="A44" s="11" t="n"/>
      <c r="B44" s="12" t="n"/>
      <c r="C44" s="13" t="n"/>
      <c r="D44" s="12" t="n"/>
      <c r="E44" s="14">
        <f>IF($A44="","",IFERROR(TEXTJOIN(CHAR(10),TRUE,FILTER('Learning Objectives'!$D:$D,'Learning Objectives'!$A:$A="Senior",'Learning Objectives'!$B:$B=$A44)),""))</f>
        <v/>
      </c>
      <c r="F44" s="12" t="n"/>
      <c r="G44" s="13" t="n"/>
      <c r="H44" s="13" t="n"/>
      <c r="I44" s="12" t="n"/>
      <c r="J44" s="12" t="n"/>
      <c r="K44" s="12" t="n"/>
      <c r="L44" s="13" t="n"/>
      <c r="M44" s="13" t="n"/>
      <c r="N44" s="12" t="n"/>
    </row>
    <row r="45">
      <c r="A45" s="11" t="n"/>
      <c r="B45" s="12" t="n"/>
      <c r="C45" s="13" t="n"/>
      <c r="D45" s="12" t="n"/>
      <c r="E45" s="14">
        <f>IF($A45="","",IFERROR(TEXTJOIN(CHAR(10),TRUE,FILTER('Learning Objectives'!$D:$D,'Learning Objectives'!$A:$A="Senior",'Learning Objectives'!$B:$B=$A45)),""))</f>
        <v/>
      </c>
      <c r="F45" s="12" t="n"/>
      <c r="G45" s="13" t="n"/>
      <c r="H45" s="13" t="n"/>
      <c r="I45" s="12" t="n"/>
      <c r="J45" s="12" t="n"/>
      <c r="K45" s="12" t="n"/>
      <c r="L45" s="13" t="n"/>
      <c r="M45" s="13" t="n"/>
      <c r="N45" s="12" t="n"/>
    </row>
    <row r="46">
      <c r="A46" s="11" t="n"/>
      <c r="B46" s="12" t="n"/>
      <c r="C46" s="13" t="n"/>
      <c r="D46" s="12" t="n"/>
      <c r="E46" s="14">
        <f>IF($A46="","",IFERROR(TEXTJOIN(CHAR(10),TRUE,FILTER('Learning Objectives'!$D:$D,'Learning Objectives'!$A:$A="Senior",'Learning Objectives'!$B:$B=$A46)),""))</f>
        <v/>
      </c>
      <c r="F46" s="12" t="n"/>
      <c r="G46" s="13" t="n"/>
      <c r="H46" s="13" t="n"/>
      <c r="I46" s="12" t="n"/>
      <c r="J46" s="12" t="n"/>
      <c r="K46" s="12" t="n"/>
      <c r="L46" s="13" t="n"/>
      <c r="M46" s="13" t="n"/>
      <c r="N46" s="12" t="n"/>
    </row>
    <row r="47">
      <c r="A47" s="11" t="n"/>
      <c r="B47" s="12" t="n"/>
      <c r="C47" s="13" t="n"/>
      <c r="D47" s="12" t="n"/>
      <c r="E47" s="14">
        <f>IF($A47="","",IFERROR(TEXTJOIN(CHAR(10),TRUE,FILTER('Learning Objectives'!$D:$D,'Learning Objectives'!$A:$A="Senior",'Learning Objectives'!$B:$B=$A47)),""))</f>
        <v/>
      </c>
      <c r="F47" s="12" t="n"/>
      <c r="G47" s="13" t="n"/>
      <c r="H47" s="13" t="n"/>
      <c r="I47" s="12" t="n"/>
      <c r="J47" s="12" t="n"/>
      <c r="K47" s="12" t="n"/>
      <c r="L47" s="13" t="n"/>
      <c r="M47" s="13" t="n"/>
      <c r="N47" s="12" t="n"/>
    </row>
    <row r="48">
      <c r="A48" s="11" t="n"/>
      <c r="B48" s="12" t="n"/>
      <c r="C48" s="13" t="n"/>
      <c r="D48" s="12" t="n"/>
      <c r="E48" s="14">
        <f>IF($A48="","",IFERROR(TEXTJOIN(CHAR(10),TRUE,FILTER('Learning Objectives'!$D:$D,'Learning Objectives'!$A:$A="Senior",'Learning Objectives'!$B:$B=$A48)),""))</f>
        <v/>
      </c>
      <c r="F48" s="12" t="n"/>
      <c r="G48" s="13" t="n"/>
      <c r="H48" s="13" t="n"/>
      <c r="I48" s="12" t="n"/>
      <c r="J48" s="12" t="n"/>
      <c r="K48" s="12" t="n"/>
      <c r="L48" s="13" t="n"/>
      <c r="M48" s="13" t="n"/>
      <c r="N48" s="12" t="n"/>
    </row>
    <row r="49">
      <c r="A49" s="11" t="n"/>
      <c r="B49" s="12" t="n"/>
      <c r="C49" s="13" t="n"/>
      <c r="D49" s="12" t="n"/>
      <c r="E49" s="14">
        <f>IF($A49="","",IFERROR(TEXTJOIN(CHAR(10),TRUE,FILTER('Learning Objectives'!$D:$D,'Learning Objectives'!$A:$A="Senior",'Learning Objectives'!$B:$B=$A49)),""))</f>
        <v/>
      </c>
      <c r="F49" s="12" t="n"/>
      <c r="G49" s="13" t="n"/>
      <c r="H49" s="13" t="n"/>
      <c r="I49" s="12" t="n"/>
      <c r="J49" s="12" t="n"/>
      <c r="K49" s="12" t="n"/>
      <c r="L49" s="13" t="n"/>
      <c r="M49" s="13" t="n"/>
      <c r="N49" s="12" t="n"/>
    </row>
    <row r="50">
      <c r="A50" s="11" t="n"/>
      <c r="B50" s="12" t="n"/>
      <c r="C50" s="13" t="n"/>
      <c r="D50" s="12" t="n"/>
      <c r="E50" s="14">
        <f>IF($A50="","",IFERROR(TEXTJOIN(CHAR(10),TRUE,FILTER('Learning Objectives'!$D:$D,'Learning Objectives'!$A:$A="Senior",'Learning Objectives'!$B:$B=$A50)),""))</f>
        <v/>
      </c>
      <c r="F50" s="12" t="n"/>
      <c r="G50" s="13" t="n"/>
      <c r="H50" s="13" t="n"/>
      <c r="I50" s="12" t="n"/>
      <c r="J50" s="12" t="n"/>
      <c r="K50" s="12" t="n"/>
      <c r="L50" s="13" t="n"/>
      <c r="M50" s="13" t="n"/>
      <c r="N50" s="12" t="n"/>
    </row>
    <row r="51">
      <c r="A51" s="11" t="n"/>
      <c r="B51" s="12" t="n"/>
      <c r="C51" s="13" t="n"/>
      <c r="D51" s="12" t="n"/>
      <c r="E51" s="14">
        <f>IF($A51="","",IFERROR(TEXTJOIN(CHAR(10),TRUE,FILTER('Learning Objectives'!$D:$D,'Learning Objectives'!$A:$A="Senior",'Learning Objectives'!$B:$B=$A51)),""))</f>
        <v/>
      </c>
      <c r="F51" s="12" t="n"/>
      <c r="G51" s="13" t="n"/>
      <c r="H51" s="13" t="n"/>
      <c r="I51" s="12" t="n"/>
      <c r="J51" s="12" t="n"/>
      <c r="K51" s="12" t="n"/>
      <c r="L51" s="13" t="n"/>
      <c r="M51" s="13" t="n"/>
      <c r="N51" s="12" t="n"/>
    </row>
  </sheetData>
  <autoFilter ref="A1:N1"/>
  <dataValidations count="2">
    <dataValidation sqref="K2:K51" showDropDown="0" showInputMessage="0" showErrorMessage="0" allowBlank="1" error="Pick one of the listed values." type="list">
      <formula1>"Pick the right one,Match things together,Put things in order,Explore and find"</formula1>
    </dataValidation>
    <dataValidation sqref="M2:M51" showDropDown="0" showInputMessage="0" showErrorMessage="1" allowBlank="1" error="Pick one of the listed values." type="list">
      <formula1>"Draft,Ready for Review,Published"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18" customWidth="1" min="3" max="3"/>
    <col width="62" customWidth="1" min="4" max="4"/>
    <col width="42" customWidth="1" min="5" max="5"/>
    <col width="38" customWidth="1" min="6" max="6"/>
    <col width="20" customWidth="1" min="7" max="7"/>
    <col width="26" customWidth="1" min="8" max="8"/>
    <col width="38" customWidth="1" min="9" max="9"/>
    <col width="38" customWidth="1" min="10" max="10"/>
    <col width="30" customWidth="1" min="11" max="11"/>
    <col width="18" customWidth="1" min="12" max="12"/>
    <col width="18" customWidth="1" min="13" max="13"/>
    <col width="40" customWidth="1" min="14" max="14"/>
  </cols>
  <sheetData>
    <row r="1" ht="42" customHeight="1">
      <c r="A1" s="10" t="inlineStr">
        <is>
          <t>Chapter</t>
        </is>
      </c>
      <c r="B1" s="10" t="inlineStr">
        <is>
          <t>Title</t>
        </is>
      </c>
      <c r="C1" s="10" t="inlineStr">
        <is>
          <t>Bible Reference</t>
        </is>
      </c>
      <c r="D1" s="10" t="inlineStr">
        <is>
          <t>Curriculum</t>
        </is>
      </c>
      <c r="E1" s="10" t="inlineStr">
        <is>
          <t>Learning Objectives</t>
        </is>
      </c>
      <c r="F1" s="10" t="inlineStr">
        <is>
          <t>Memory Verse</t>
        </is>
      </c>
      <c r="G1" s="10" t="inlineStr">
        <is>
          <t>Memory Verse Reference</t>
        </is>
      </c>
      <c r="H1" s="10" t="inlineStr">
        <is>
          <t>Video</t>
        </is>
      </c>
      <c r="I1" s="10" t="inlineStr">
        <is>
          <t>Take Home</t>
        </is>
      </c>
      <c r="J1" s="10" t="inlineStr">
        <is>
          <t>Teaching Notes</t>
        </is>
      </c>
      <c r="K1" s="10" t="inlineStr">
        <is>
          <t>Game Suggestion</t>
        </is>
      </c>
      <c r="L1" s="10" t="inlineStr">
        <is>
          <t>Contributor</t>
        </is>
      </c>
      <c r="M1" s="10" t="inlineStr">
        <is>
          <t>Status</t>
        </is>
      </c>
      <c r="N1" s="10" t="inlineStr">
        <is>
          <t>Notes</t>
        </is>
      </c>
    </row>
    <row r="2">
      <c r="A2" s="11" t="n"/>
      <c r="B2" s="12" t="n"/>
      <c r="C2" s="13" t="n"/>
      <c r="D2" s="12" t="n"/>
      <c r="E2" s="14">
        <f>IF($A2="","",IFERROR(TEXTJOIN(CHAR(10),TRUE,FILTER('Learning Objectives'!$D:$D,'Learning Objectives'!$A:$A="Young Adult",'Learning Objectives'!$B:$B=$A2)),""))</f>
        <v/>
      </c>
      <c r="F2" s="12" t="n"/>
      <c r="G2" s="13" t="n"/>
      <c r="H2" s="13" t="n"/>
      <c r="I2" s="12" t="n"/>
      <c r="J2" s="12" t="n"/>
      <c r="K2" s="12" t="n"/>
      <c r="L2" s="13" t="n"/>
      <c r="M2" s="13" t="n"/>
      <c r="N2" s="12" t="n"/>
    </row>
    <row r="3">
      <c r="A3" s="11" t="n"/>
      <c r="B3" s="12" t="n"/>
      <c r="C3" s="13" t="n"/>
      <c r="D3" s="12" t="n"/>
      <c r="E3" s="14">
        <f>IF($A3="","",IFERROR(TEXTJOIN(CHAR(10),TRUE,FILTER('Learning Objectives'!$D:$D,'Learning Objectives'!$A:$A="Young Adult",'Learning Objectives'!$B:$B=$A3)),""))</f>
        <v/>
      </c>
      <c r="F3" s="12" t="n"/>
      <c r="G3" s="13" t="n"/>
      <c r="H3" s="13" t="n"/>
      <c r="I3" s="12" t="n"/>
      <c r="J3" s="12" t="n"/>
      <c r="K3" s="12" t="n"/>
      <c r="L3" s="13" t="n"/>
      <c r="M3" s="13" t="n"/>
      <c r="N3" s="12" t="n"/>
    </row>
    <row r="4">
      <c r="A4" s="11" t="n"/>
      <c r="B4" s="12" t="n"/>
      <c r="C4" s="13" t="n"/>
      <c r="D4" s="12" t="n"/>
      <c r="E4" s="14">
        <f>IF($A4="","",IFERROR(TEXTJOIN(CHAR(10),TRUE,FILTER('Learning Objectives'!$D:$D,'Learning Objectives'!$A:$A="Young Adult",'Learning Objectives'!$B:$B=$A4)),""))</f>
        <v/>
      </c>
      <c r="F4" s="12" t="n"/>
      <c r="G4" s="13" t="n"/>
      <c r="H4" s="13" t="n"/>
      <c r="I4" s="12" t="n"/>
      <c r="J4" s="12" t="n"/>
      <c r="K4" s="12" t="n"/>
      <c r="L4" s="13" t="n"/>
      <c r="M4" s="13" t="n"/>
      <c r="N4" s="12" t="n"/>
    </row>
    <row r="5">
      <c r="A5" s="11" t="n"/>
      <c r="B5" s="12" t="n"/>
      <c r="C5" s="13" t="n"/>
      <c r="D5" s="12" t="n"/>
      <c r="E5" s="14">
        <f>IF($A5="","",IFERROR(TEXTJOIN(CHAR(10),TRUE,FILTER('Learning Objectives'!$D:$D,'Learning Objectives'!$A:$A="Young Adult",'Learning Objectives'!$B:$B=$A5)),""))</f>
        <v/>
      </c>
      <c r="F5" s="12" t="n"/>
      <c r="G5" s="13" t="n"/>
      <c r="H5" s="13" t="n"/>
      <c r="I5" s="12" t="n"/>
      <c r="J5" s="12" t="n"/>
      <c r="K5" s="12" t="n"/>
      <c r="L5" s="13" t="n"/>
      <c r="M5" s="13" t="n"/>
      <c r="N5" s="12" t="n"/>
    </row>
    <row r="6">
      <c r="A6" s="11" t="n"/>
      <c r="B6" s="12" t="n"/>
      <c r="C6" s="13" t="n"/>
      <c r="D6" s="12" t="n"/>
      <c r="E6" s="14">
        <f>IF($A6="","",IFERROR(TEXTJOIN(CHAR(10),TRUE,FILTER('Learning Objectives'!$D:$D,'Learning Objectives'!$A:$A="Young Adult",'Learning Objectives'!$B:$B=$A6)),""))</f>
        <v/>
      </c>
      <c r="F6" s="12" t="n"/>
      <c r="G6" s="13" t="n"/>
      <c r="H6" s="13" t="n"/>
      <c r="I6" s="12" t="n"/>
      <c r="J6" s="12" t="n"/>
      <c r="K6" s="12" t="n"/>
      <c r="L6" s="13" t="n"/>
      <c r="M6" s="13" t="n"/>
      <c r="N6" s="12" t="n"/>
    </row>
    <row r="7">
      <c r="A7" s="11" t="n"/>
      <c r="B7" s="12" t="n"/>
      <c r="C7" s="13" t="n"/>
      <c r="D7" s="12" t="n"/>
      <c r="E7" s="14">
        <f>IF($A7="","",IFERROR(TEXTJOIN(CHAR(10),TRUE,FILTER('Learning Objectives'!$D:$D,'Learning Objectives'!$A:$A="Young Adult",'Learning Objectives'!$B:$B=$A7)),""))</f>
        <v/>
      </c>
      <c r="F7" s="12" t="n"/>
      <c r="G7" s="13" t="n"/>
      <c r="H7" s="13" t="n"/>
      <c r="I7" s="12" t="n"/>
      <c r="J7" s="12" t="n"/>
      <c r="K7" s="12" t="n"/>
      <c r="L7" s="13" t="n"/>
      <c r="M7" s="13" t="n"/>
      <c r="N7" s="12" t="n"/>
    </row>
    <row r="8">
      <c r="A8" s="11" t="n"/>
      <c r="B8" s="12" t="n"/>
      <c r="C8" s="13" t="n"/>
      <c r="D8" s="12" t="n"/>
      <c r="E8" s="14">
        <f>IF($A8="","",IFERROR(TEXTJOIN(CHAR(10),TRUE,FILTER('Learning Objectives'!$D:$D,'Learning Objectives'!$A:$A="Young Adult",'Learning Objectives'!$B:$B=$A8)),""))</f>
        <v/>
      </c>
      <c r="F8" s="12" t="n"/>
      <c r="G8" s="13" t="n"/>
      <c r="H8" s="13" t="n"/>
      <c r="I8" s="12" t="n"/>
      <c r="J8" s="12" t="n"/>
      <c r="K8" s="12" t="n"/>
      <c r="L8" s="13" t="n"/>
      <c r="M8" s="13" t="n"/>
      <c r="N8" s="12" t="n"/>
    </row>
    <row r="9">
      <c r="A9" s="11" t="n"/>
      <c r="B9" s="12" t="n"/>
      <c r="C9" s="13" t="n"/>
      <c r="D9" s="12" t="n"/>
      <c r="E9" s="14">
        <f>IF($A9="","",IFERROR(TEXTJOIN(CHAR(10),TRUE,FILTER('Learning Objectives'!$D:$D,'Learning Objectives'!$A:$A="Young Adult",'Learning Objectives'!$B:$B=$A9)),""))</f>
        <v/>
      </c>
      <c r="F9" s="12" t="n"/>
      <c r="G9" s="13" t="n"/>
      <c r="H9" s="13" t="n"/>
      <c r="I9" s="12" t="n"/>
      <c r="J9" s="12" t="n"/>
      <c r="K9" s="12" t="n"/>
      <c r="L9" s="13" t="n"/>
      <c r="M9" s="13" t="n"/>
      <c r="N9" s="12" t="n"/>
    </row>
    <row r="10">
      <c r="A10" s="11" t="n"/>
      <c r="B10" s="12" t="n"/>
      <c r="C10" s="13" t="n"/>
      <c r="D10" s="12" t="n"/>
      <c r="E10" s="14">
        <f>IF($A10="","",IFERROR(TEXTJOIN(CHAR(10),TRUE,FILTER('Learning Objectives'!$D:$D,'Learning Objectives'!$A:$A="Young Adult",'Learning Objectives'!$B:$B=$A10)),""))</f>
        <v/>
      </c>
      <c r="F10" s="12" t="n"/>
      <c r="G10" s="13" t="n"/>
      <c r="H10" s="13" t="n"/>
      <c r="I10" s="12" t="n"/>
      <c r="J10" s="12" t="n"/>
      <c r="K10" s="12" t="n"/>
      <c r="L10" s="13" t="n"/>
      <c r="M10" s="13" t="n"/>
      <c r="N10" s="12" t="n"/>
    </row>
    <row r="11">
      <c r="A11" s="11" t="n"/>
      <c r="B11" s="12" t="n"/>
      <c r="C11" s="13" t="n"/>
      <c r="D11" s="12" t="n"/>
      <c r="E11" s="14">
        <f>IF($A11="","",IFERROR(TEXTJOIN(CHAR(10),TRUE,FILTER('Learning Objectives'!$D:$D,'Learning Objectives'!$A:$A="Young Adult",'Learning Objectives'!$B:$B=$A11)),""))</f>
        <v/>
      </c>
      <c r="F11" s="12" t="n"/>
      <c r="G11" s="13" t="n"/>
      <c r="H11" s="13" t="n"/>
      <c r="I11" s="12" t="n"/>
      <c r="J11" s="12" t="n"/>
      <c r="K11" s="12" t="n"/>
      <c r="L11" s="13" t="n"/>
      <c r="M11" s="13" t="n"/>
      <c r="N11" s="12" t="n"/>
    </row>
    <row r="12">
      <c r="A12" s="11" t="n"/>
      <c r="B12" s="12" t="n"/>
      <c r="C12" s="13" t="n"/>
      <c r="D12" s="12" t="n"/>
      <c r="E12" s="14">
        <f>IF($A12="","",IFERROR(TEXTJOIN(CHAR(10),TRUE,FILTER('Learning Objectives'!$D:$D,'Learning Objectives'!$A:$A="Young Adult",'Learning Objectives'!$B:$B=$A12)),""))</f>
        <v/>
      </c>
      <c r="F12" s="12" t="n"/>
      <c r="G12" s="13" t="n"/>
      <c r="H12" s="13" t="n"/>
      <c r="I12" s="12" t="n"/>
      <c r="J12" s="12" t="n"/>
      <c r="K12" s="12" t="n"/>
      <c r="L12" s="13" t="n"/>
      <c r="M12" s="13" t="n"/>
      <c r="N12" s="12" t="n"/>
    </row>
    <row r="13">
      <c r="A13" s="11" t="n"/>
      <c r="B13" s="12" t="n"/>
      <c r="C13" s="13" t="n"/>
      <c r="D13" s="12" t="n"/>
      <c r="E13" s="14">
        <f>IF($A13="","",IFERROR(TEXTJOIN(CHAR(10),TRUE,FILTER('Learning Objectives'!$D:$D,'Learning Objectives'!$A:$A="Young Adult",'Learning Objectives'!$B:$B=$A13)),""))</f>
        <v/>
      </c>
      <c r="F13" s="12" t="n"/>
      <c r="G13" s="13" t="n"/>
      <c r="H13" s="13" t="n"/>
      <c r="I13" s="12" t="n"/>
      <c r="J13" s="12" t="n"/>
      <c r="K13" s="12" t="n"/>
      <c r="L13" s="13" t="n"/>
      <c r="M13" s="13" t="n"/>
      <c r="N13" s="12" t="n"/>
    </row>
    <row r="14">
      <c r="A14" s="11" t="n"/>
      <c r="B14" s="12" t="n"/>
      <c r="C14" s="13" t="n"/>
      <c r="D14" s="12" t="n"/>
      <c r="E14" s="14">
        <f>IF($A14="","",IFERROR(TEXTJOIN(CHAR(10),TRUE,FILTER('Learning Objectives'!$D:$D,'Learning Objectives'!$A:$A="Young Adult",'Learning Objectives'!$B:$B=$A14)),""))</f>
        <v/>
      </c>
      <c r="F14" s="12" t="n"/>
      <c r="G14" s="13" t="n"/>
      <c r="H14" s="13" t="n"/>
      <c r="I14" s="12" t="n"/>
      <c r="J14" s="12" t="n"/>
      <c r="K14" s="12" t="n"/>
      <c r="L14" s="13" t="n"/>
      <c r="M14" s="13" t="n"/>
      <c r="N14" s="12" t="n"/>
    </row>
    <row r="15">
      <c r="A15" s="11" t="n"/>
      <c r="B15" s="12" t="n"/>
      <c r="C15" s="13" t="n"/>
      <c r="D15" s="12" t="n"/>
      <c r="E15" s="14">
        <f>IF($A15="","",IFERROR(TEXTJOIN(CHAR(10),TRUE,FILTER('Learning Objectives'!$D:$D,'Learning Objectives'!$A:$A="Young Adult",'Learning Objectives'!$B:$B=$A15)),""))</f>
        <v/>
      </c>
      <c r="F15" s="12" t="n"/>
      <c r="G15" s="13" t="n"/>
      <c r="H15" s="13" t="n"/>
      <c r="I15" s="12" t="n"/>
      <c r="J15" s="12" t="n"/>
      <c r="K15" s="12" t="n"/>
      <c r="L15" s="13" t="n"/>
      <c r="M15" s="13" t="n"/>
      <c r="N15" s="12" t="n"/>
    </row>
    <row r="16">
      <c r="A16" s="11" t="n"/>
      <c r="B16" s="12" t="n"/>
      <c r="C16" s="13" t="n"/>
      <c r="D16" s="12" t="n"/>
      <c r="E16" s="14">
        <f>IF($A16="","",IFERROR(TEXTJOIN(CHAR(10),TRUE,FILTER('Learning Objectives'!$D:$D,'Learning Objectives'!$A:$A="Young Adult",'Learning Objectives'!$B:$B=$A16)),""))</f>
        <v/>
      </c>
      <c r="F16" s="12" t="n"/>
      <c r="G16" s="13" t="n"/>
      <c r="H16" s="13" t="n"/>
      <c r="I16" s="12" t="n"/>
      <c r="J16" s="12" t="n"/>
      <c r="K16" s="12" t="n"/>
      <c r="L16" s="13" t="n"/>
      <c r="M16" s="13" t="n"/>
      <c r="N16" s="12" t="n"/>
    </row>
    <row r="17">
      <c r="A17" s="11" t="n"/>
      <c r="B17" s="12" t="n"/>
      <c r="C17" s="13" t="n"/>
      <c r="D17" s="12" t="n"/>
      <c r="E17" s="14">
        <f>IF($A17="","",IFERROR(TEXTJOIN(CHAR(10),TRUE,FILTER('Learning Objectives'!$D:$D,'Learning Objectives'!$A:$A="Young Adult",'Learning Objectives'!$B:$B=$A17)),""))</f>
        <v/>
      </c>
      <c r="F17" s="12" t="n"/>
      <c r="G17" s="13" t="n"/>
      <c r="H17" s="13" t="n"/>
      <c r="I17" s="12" t="n"/>
      <c r="J17" s="12" t="n"/>
      <c r="K17" s="12" t="n"/>
      <c r="L17" s="13" t="n"/>
      <c r="M17" s="13" t="n"/>
      <c r="N17" s="12" t="n"/>
    </row>
    <row r="18">
      <c r="A18" s="11" t="n"/>
      <c r="B18" s="12" t="n"/>
      <c r="C18" s="13" t="n"/>
      <c r="D18" s="12" t="n"/>
      <c r="E18" s="14">
        <f>IF($A18="","",IFERROR(TEXTJOIN(CHAR(10),TRUE,FILTER('Learning Objectives'!$D:$D,'Learning Objectives'!$A:$A="Young Adult",'Learning Objectives'!$B:$B=$A18)),""))</f>
        <v/>
      </c>
      <c r="F18" s="12" t="n"/>
      <c r="G18" s="13" t="n"/>
      <c r="H18" s="13" t="n"/>
      <c r="I18" s="12" t="n"/>
      <c r="J18" s="12" t="n"/>
      <c r="K18" s="12" t="n"/>
      <c r="L18" s="13" t="n"/>
      <c r="M18" s="13" t="n"/>
      <c r="N18" s="12" t="n"/>
    </row>
    <row r="19">
      <c r="A19" s="11" t="n"/>
      <c r="B19" s="12" t="n"/>
      <c r="C19" s="13" t="n"/>
      <c r="D19" s="12" t="n"/>
      <c r="E19" s="14">
        <f>IF($A19="","",IFERROR(TEXTJOIN(CHAR(10),TRUE,FILTER('Learning Objectives'!$D:$D,'Learning Objectives'!$A:$A="Young Adult",'Learning Objectives'!$B:$B=$A19)),""))</f>
        <v/>
      </c>
      <c r="F19" s="12" t="n"/>
      <c r="G19" s="13" t="n"/>
      <c r="H19" s="13" t="n"/>
      <c r="I19" s="12" t="n"/>
      <c r="J19" s="12" t="n"/>
      <c r="K19" s="12" t="n"/>
      <c r="L19" s="13" t="n"/>
      <c r="M19" s="13" t="n"/>
      <c r="N19" s="12" t="n"/>
    </row>
    <row r="20">
      <c r="A20" s="11" t="n"/>
      <c r="B20" s="12" t="n"/>
      <c r="C20" s="13" t="n"/>
      <c r="D20" s="12" t="n"/>
      <c r="E20" s="14">
        <f>IF($A20="","",IFERROR(TEXTJOIN(CHAR(10),TRUE,FILTER('Learning Objectives'!$D:$D,'Learning Objectives'!$A:$A="Young Adult",'Learning Objectives'!$B:$B=$A20)),""))</f>
        <v/>
      </c>
      <c r="F20" s="12" t="n"/>
      <c r="G20" s="13" t="n"/>
      <c r="H20" s="13" t="n"/>
      <c r="I20" s="12" t="n"/>
      <c r="J20" s="12" t="n"/>
      <c r="K20" s="12" t="n"/>
      <c r="L20" s="13" t="n"/>
      <c r="M20" s="13" t="n"/>
      <c r="N20" s="12" t="n"/>
    </row>
    <row r="21">
      <c r="A21" s="11" t="n"/>
      <c r="B21" s="12" t="n"/>
      <c r="C21" s="13" t="n"/>
      <c r="D21" s="12" t="n"/>
      <c r="E21" s="14">
        <f>IF($A21="","",IFERROR(TEXTJOIN(CHAR(10),TRUE,FILTER('Learning Objectives'!$D:$D,'Learning Objectives'!$A:$A="Young Adult",'Learning Objectives'!$B:$B=$A21)),""))</f>
        <v/>
      </c>
      <c r="F21" s="12" t="n"/>
      <c r="G21" s="13" t="n"/>
      <c r="H21" s="13" t="n"/>
      <c r="I21" s="12" t="n"/>
      <c r="J21" s="12" t="n"/>
      <c r="K21" s="12" t="n"/>
      <c r="L21" s="13" t="n"/>
      <c r="M21" s="13" t="n"/>
      <c r="N21" s="12" t="n"/>
    </row>
    <row r="22">
      <c r="A22" s="11" t="n"/>
      <c r="B22" s="12" t="n"/>
      <c r="C22" s="13" t="n"/>
      <c r="D22" s="12" t="n"/>
      <c r="E22" s="14">
        <f>IF($A22="","",IFERROR(TEXTJOIN(CHAR(10),TRUE,FILTER('Learning Objectives'!$D:$D,'Learning Objectives'!$A:$A="Young Adult",'Learning Objectives'!$B:$B=$A22)),""))</f>
        <v/>
      </c>
      <c r="F22" s="12" t="n"/>
      <c r="G22" s="13" t="n"/>
      <c r="H22" s="13" t="n"/>
      <c r="I22" s="12" t="n"/>
      <c r="J22" s="12" t="n"/>
      <c r="K22" s="12" t="n"/>
      <c r="L22" s="13" t="n"/>
      <c r="M22" s="13" t="n"/>
      <c r="N22" s="12" t="n"/>
    </row>
    <row r="23">
      <c r="A23" s="11" t="n"/>
      <c r="B23" s="12" t="n"/>
      <c r="C23" s="13" t="n"/>
      <c r="D23" s="12" t="n"/>
      <c r="E23" s="14">
        <f>IF($A23="","",IFERROR(TEXTJOIN(CHAR(10),TRUE,FILTER('Learning Objectives'!$D:$D,'Learning Objectives'!$A:$A="Young Adult",'Learning Objectives'!$B:$B=$A23)),""))</f>
        <v/>
      </c>
      <c r="F23" s="12" t="n"/>
      <c r="G23" s="13" t="n"/>
      <c r="H23" s="13" t="n"/>
      <c r="I23" s="12" t="n"/>
      <c r="J23" s="12" t="n"/>
      <c r="K23" s="12" t="n"/>
      <c r="L23" s="13" t="n"/>
      <c r="M23" s="13" t="n"/>
      <c r="N23" s="12" t="n"/>
    </row>
    <row r="24">
      <c r="A24" s="11" t="n"/>
      <c r="B24" s="12" t="n"/>
      <c r="C24" s="13" t="n"/>
      <c r="D24" s="12" t="n"/>
      <c r="E24" s="14">
        <f>IF($A24="","",IFERROR(TEXTJOIN(CHAR(10),TRUE,FILTER('Learning Objectives'!$D:$D,'Learning Objectives'!$A:$A="Young Adult",'Learning Objectives'!$B:$B=$A24)),""))</f>
        <v/>
      </c>
      <c r="F24" s="12" t="n"/>
      <c r="G24" s="13" t="n"/>
      <c r="H24" s="13" t="n"/>
      <c r="I24" s="12" t="n"/>
      <c r="J24" s="12" t="n"/>
      <c r="K24" s="12" t="n"/>
      <c r="L24" s="13" t="n"/>
      <c r="M24" s="13" t="n"/>
      <c r="N24" s="12" t="n"/>
    </row>
    <row r="25">
      <c r="A25" s="11" t="n"/>
      <c r="B25" s="12" t="n"/>
      <c r="C25" s="13" t="n"/>
      <c r="D25" s="12" t="n"/>
      <c r="E25" s="14">
        <f>IF($A25="","",IFERROR(TEXTJOIN(CHAR(10),TRUE,FILTER('Learning Objectives'!$D:$D,'Learning Objectives'!$A:$A="Young Adult",'Learning Objectives'!$B:$B=$A25)),""))</f>
        <v/>
      </c>
      <c r="F25" s="12" t="n"/>
      <c r="G25" s="13" t="n"/>
      <c r="H25" s="13" t="n"/>
      <c r="I25" s="12" t="n"/>
      <c r="J25" s="12" t="n"/>
      <c r="K25" s="12" t="n"/>
      <c r="L25" s="13" t="n"/>
      <c r="M25" s="13" t="n"/>
      <c r="N25" s="12" t="n"/>
    </row>
    <row r="26">
      <c r="A26" s="11" t="n"/>
      <c r="B26" s="12" t="n"/>
      <c r="C26" s="13" t="n"/>
      <c r="D26" s="12" t="n"/>
      <c r="E26" s="14">
        <f>IF($A26="","",IFERROR(TEXTJOIN(CHAR(10),TRUE,FILTER('Learning Objectives'!$D:$D,'Learning Objectives'!$A:$A="Young Adult",'Learning Objectives'!$B:$B=$A26)),""))</f>
        <v/>
      </c>
      <c r="F26" s="12" t="n"/>
      <c r="G26" s="13" t="n"/>
      <c r="H26" s="13" t="n"/>
      <c r="I26" s="12" t="n"/>
      <c r="J26" s="12" t="n"/>
      <c r="K26" s="12" t="n"/>
      <c r="L26" s="13" t="n"/>
      <c r="M26" s="13" t="n"/>
      <c r="N26" s="12" t="n"/>
    </row>
    <row r="27">
      <c r="A27" s="11" t="n"/>
      <c r="B27" s="12" t="n"/>
      <c r="C27" s="13" t="n"/>
      <c r="D27" s="12" t="n"/>
      <c r="E27" s="14">
        <f>IF($A27="","",IFERROR(TEXTJOIN(CHAR(10),TRUE,FILTER('Learning Objectives'!$D:$D,'Learning Objectives'!$A:$A="Young Adult",'Learning Objectives'!$B:$B=$A27)),""))</f>
        <v/>
      </c>
      <c r="F27" s="12" t="n"/>
      <c r="G27" s="13" t="n"/>
      <c r="H27" s="13" t="n"/>
      <c r="I27" s="12" t="n"/>
      <c r="J27" s="12" t="n"/>
      <c r="K27" s="12" t="n"/>
      <c r="L27" s="13" t="n"/>
      <c r="M27" s="13" t="n"/>
      <c r="N27" s="12" t="n"/>
    </row>
    <row r="28">
      <c r="A28" s="11" t="n"/>
      <c r="B28" s="12" t="n"/>
      <c r="C28" s="13" t="n"/>
      <c r="D28" s="12" t="n"/>
      <c r="E28" s="14">
        <f>IF($A28="","",IFERROR(TEXTJOIN(CHAR(10),TRUE,FILTER('Learning Objectives'!$D:$D,'Learning Objectives'!$A:$A="Young Adult",'Learning Objectives'!$B:$B=$A28)),""))</f>
        <v/>
      </c>
      <c r="F28" s="12" t="n"/>
      <c r="G28" s="13" t="n"/>
      <c r="H28" s="13" t="n"/>
      <c r="I28" s="12" t="n"/>
      <c r="J28" s="12" t="n"/>
      <c r="K28" s="12" t="n"/>
      <c r="L28" s="13" t="n"/>
      <c r="M28" s="13" t="n"/>
      <c r="N28" s="12" t="n"/>
    </row>
    <row r="29">
      <c r="A29" s="11" t="n"/>
      <c r="B29" s="12" t="n"/>
      <c r="C29" s="13" t="n"/>
      <c r="D29" s="12" t="n"/>
      <c r="E29" s="14">
        <f>IF($A29="","",IFERROR(TEXTJOIN(CHAR(10),TRUE,FILTER('Learning Objectives'!$D:$D,'Learning Objectives'!$A:$A="Young Adult",'Learning Objectives'!$B:$B=$A29)),""))</f>
        <v/>
      </c>
      <c r="F29" s="12" t="n"/>
      <c r="G29" s="13" t="n"/>
      <c r="H29" s="13" t="n"/>
      <c r="I29" s="12" t="n"/>
      <c r="J29" s="12" t="n"/>
      <c r="K29" s="12" t="n"/>
      <c r="L29" s="13" t="n"/>
      <c r="M29" s="13" t="n"/>
      <c r="N29" s="12" t="n"/>
    </row>
    <row r="30">
      <c r="A30" s="11" t="n"/>
      <c r="B30" s="12" t="n"/>
      <c r="C30" s="13" t="n"/>
      <c r="D30" s="12" t="n"/>
      <c r="E30" s="14">
        <f>IF($A30="","",IFERROR(TEXTJOIN(CHAR(10),TRUE,FILTER('Learning Objectives'!$D:$D,'Learning Objectives'!$A:$A="Young Adult",'Learning Objectives'!$B:$B=$A30)),""))</f>
        <v/>
      </c>
      <c r="F30" s="12" t="n"/>
      <c r="G30" s="13" t="n"/>
      <c r="H30" s="13" t="n"/>
      <c r="I30" s="12" t="n"/>
      <c r="J30" s="12" t="n"/>
      <c r="K30" s="12" t="n"/>
      <c r="L30" s="13" t="n"/>
      <c r="M30" s="13" t="n"/>
      <c r="N30" s="12" t="n"/>
    </row>
    <row r="31">
      <c r="A31" s="11" t="n"/>
      <c r="B31" s="12" t="n"/>
      <c r="C31" s="13" t="n"/>
      <c r="D31" s="12" t="n"/>
      <c r="E31" s="14">
        <f>IF($A31="","",IFERROR(TEXTJOIN(CHAR(10),TRUE,FILTER('Learning Objectives'!$D:$D,'Learning Objectives'!$A:$A="Young Adult",'Learning Objectives'!$B:$B=$A31)),""))</f>
        <v/>
      </c>
      <c r="F31" s="12" t="n"/>
      <c r="G31" s="13" t="n"/>
      <c r="H31" s="13" t="n"/>
      <c r="I31" s="12" t="n"/>
      <c r="J31" s="12" t="n"/>
      <c r="K31" s="12" t="n"/>
      <c r="L31" s="13" t="n"/>
      <c r="M31" s="13" t="n"/>
      <c r="N31" s="12" t="n"/>
    </row>
    <row r="32">
      <c r="A32" s="11" t="n"/>
      <c r="B32" s="12" t="n"/>
      <c r="C32" s="13" t="n"/>
      <c r="D32" s="12" t="n"/>
      <c r="E32" s="14">
        <f>IF($A32="","",IFERROR(TEXTJOIN(CHAR(10),TRUE,FILTER('Learning Objectives'!$D:$D,'Learning Objectives'!$A:$A="Young Adult",'Learning Objectives'!$B:$B=$A32)),""))</f>
        <v/>
      </c>
      <c r="F32" s="12" t="n"/>
      <c r="G32" s="13" t="n"/>
      <c r="H32" s="13" t="n"/>
      <c r="I32" s="12" t="n"/>
      <c r="J32" s="12" t="n"/>
      <c r="K32" s="12" t="n"/>
      <c r="L32" s="13" t="n"/>
      <c r="M32" s="13" t="n"/>
      <c r="N32" s="12" t="n"/>
    </row>
    <row r="33">
      <c r="A33" s="11" t="n"/>
      <c r="B33" s="12" t="n"/>
      <c r="C33" s="13" t="n"/>
      <c r="D33" s="12" t="n"/>
      <c r="E33" s="14">
        <f>IF($A33="","",IFERROR(TEXTJOIN(CHAR(10),TRUE,FILTER('Learning Objectives'!$D:$D,'Learning Objectives'!$A:$A="Young Adult",'Learning Objectives'!$B:$B=$A33)),""))</f>
        <v/>
      </c>
      <c r="F33" s="12" t="n"/>
      <c r="G33" s="13" t="n"/>
      <c r="H33" s="13" t="n"/>
      <c r="I33" s="12" t="n"/>
      <c r="J33" s="12" t="n"/>
      <c r="K33" s="12" t="n"/>
      <c r="L33" s="13" t="n"/>
      <c r="M33" s="13" t="n"/>
      <c r="N33" s="12" t="n"/>
    </row>
    <row r="34">
      <c r="A34" s="11" t="n"/>
      <c r="B34" s="12" t="n"/>
      <c r="C34" s="13" t="n"/>
      <c r="D34" s="12" t="n"/>
      <c r="E34" s="14">
        <f>IF($A34="","",IFERROR(TEXTJOIN(CHAR(10),TRUE,FILTER('Learning Objectives'!$D:$D,'Learning Objectives'!$A:$A="Young Adult",'Learning Objectives'!$B:$B=$A34)),""))</f>
        <v/>
      </c>
      <c r="F34" s="12" t="n"/>
      <c r="G34" s="13" t="n"/>
      <c r="H34" s="13" t="n"/>
      <c r="I34" s="12" t="n"/>
      <c r="J34" s="12" t="n"/>
      <c r="K34" s="12" t="n"/>
      <c r="L34" s="13" t="n"/>
      <c r="M34" s="13" t="n"/>
      <c r="N34" s="12" t="n"/>
    </row>
    <row r="35">
      <c r="A35" s="11" t="n"/>
      <c r="B35" s="12" t="n"/>
      <c r="C35" s="13" t="n"/>
      <c r="D35" s="12" t="n"/>
      <c r="E35" s="14">
        <f>IF($A35="","",IFERROR(TEXTJOIN(CHAR(10),TRUE,FILTER('Learning Objectives'!$D:$D,'Learning Objectives'!$A:$A="Young Adult",'Learning Objectives'!$B:$B=$A35)),""))</f>
        <v/>
      </c>
      <c r="F35" s="12" t="n"/>
      <c r="G35" s="13" t="n"/>
      <c r="H35" s="13" t="n"/>
      <c r="I35" s="12" t="n"/>
      <c r="J35" s="12" t="n"/>
      <c r="K35" s="12" t="n"/>
      <c r="L35" s="13" t="n"/>
      <c r="M35" s="13" t="n"/>
      <c r="N35" s="12" t="n"/>
    </row>
    <row r="36">
      <c r="A36" s="11" t="n"/>
      <c r="B36" s="12" t="n"/>
      <c r="C36" s="13" t="n"/>
      <c r="D36" s="12" t="n"/>
      <c r="E36" s="14">
        <f>IF($A36="","",IFERROR(TEXTJOIN(CHAR(10),TRUE,FILTER('Learning Objectives'!$D:$D,'Learning Objectives'!$A:$A="Young Adult",'Learning Objectives'!$B:$B=$A36)),""))</f>
        <v/>
      </c>
      <c r="F36" s="12" t="n"/>
      <c r="G36" s="13" t="n"/>
      <c r="H36" s="13" t="n"/>
      <c r="I36" s="12" t="n"/>
      <c r="J36" s="12" t="n"/>
      <c r="K36" s="12" t="n"/>
      <c r="L36" s="13" t="n"/>
      <c r="M36" s="13" t="n"/>
      <c r="N36" s="12" t="n"/>
    </row>
    <row r="37">
      <c r="A37" s="11" t="n"/>
      <c r="B37" s="12" t="n"/>
      <c r="C37" s="13" t="n"/>
      <c r="D37" s="12" t="n"/>
      <c r="E37" s="14">
        <f>IF($A37="","",IFERROR(TEXTJOIN(CHAR(10),TRUE,FILTER('Learning Objectives'!$D:$D,'Learning Objectives'!$A:$A="Young Adult",'Learning Objectives'!$B:$B=$A37)),""))</f>
        <v/>
      </c>
      <c r="F37" s="12" t="n"/>
      <c r="G37" s="13" t="n"/>
      <c r="H37" s="13" t="n"/>
      <c r="I37" s="12" t="n"/>
      <c r="J37" s="12" t="n"/>
      <c r="K37" s="12" t="n"/>
      <c r="L37" s="13" t="n"/>
      <c r="M37" s="13" t="n"/>
      <c r="N37" s="12" t="n"/>
    </row>
    <row r="38">
      <c r="A38" s="11" t="n"/>
      <c r="B38" s="12" t="n"/>
      <c r="C38" s="13" t="n"/>
      <c r="D38" s="12" t="n"/>
      <c r="E38" s="14">
        <f>IF($A38="","",IFERROR(TEXTJOIN(CHAR(10),TRUE,FILTER('Learning Objectives'!$D:$D,'Learning Objectives'!$A:$A="Young Adult",'Learning Objectives'!$B:$B=$A38)),""))</f>
        <v/>
      </c>
      <c r="F38" s="12" t="n"/>
      <c r="G38" s="13" t="n"/>
      <c r="H38" s="13" t="n"/>
      <c r="I38" s="12" t="n"/>
      <c r="J38" s="12" t="n"/>
      <c r="K38" s="12" t="n"/>
      <c r="L38" s="13" t="n"/>
      <c r="M38" s="13" t="n"/>
      <c r="N38" s="12" t="n"/>
    </row>
    <row r="39">
      <c r="A39" s="11" t="n"/>
      <c r="B39" s="12" t="n"/>
      <c r="C39" s="13" t="n"/>
      <c r="D39" s="12" t="n"/>
      <c r="E39" s="14">
        <f>IF($A39="","",IFERROR(TEXTJOIN(CHAR(10),TRUE,FILTER('Learning Objectives'!$D:$D,'Learning Objectives'!$A:$A="Young Adult",'Learning Objectives'!$B:$B=$A39)),""))</f>
        <v/>
      </c>
      <c r="F39" s="12" t="n"/>
      <c r="G39" s="13" t="n"/>
      <c r="H39" s="13" t="n"/>
      <c r="I39" s="12" t="n"/>
      <c r="J39" s="12" t="n"/>
      <c r="K39" s="12" t="n"/>
      <c r="L39" s="13" t="n"/>
      <c r="M39" s="13" t="n"/>
      <c r="N39" s="12" t="n"/>
    </row>
    <row r="40">
      <c r="A40" s="11" t="n"/>
      <c r="B40" s="12" t="n"/>
      <c r="C40" s="13" t="n"/>
      <c r="D40" s="12" t="n"/>
      <c r="E40" s="14">
        <f>IF($A40="","",IFERROR(TEXTJOIN(CHAR(10),TRUE,FILTER('Learning Objectives'!$D:$D,'Learning Objectives'!$A:$A="Young Adult",'Learning Objectives'!$B:$B=$A40)),""))</f>
        <v/>
      </c>
      <c r="F40" s="12" t="n"/>
      <c r="G40" s="13" t="n"/>
      <c r="H40" s="13" t="n"/>
      <c r="I40" s="12" t="n"/>
      <c r="J40" s="12" t="n"/>
      <c r="K40" s="12" t="n"/>
      <c r="L40" s="13" t="n"/>
      <c r="M40" s="13" t="n"/>
      <c r="N40" s="12" t="n"/>
    </row>
    <row r="41">
      <c r="A41" s="11" t="n"/>
      <c r="B41" s="12" t="n"/>
      <c r="C41" s="13" t="n"/>
      <c r="D41" s="12" t="n"/>
      <c r="E41" s="14">
        <f>IF($A41="","",IFERROR(TEXTJOIN(CHAR(10),TRUE,FILTER('Learning Objectives'!$D:$D,'Learning Objectives'!$A:$A="Young Adult",'Learning Objectives'!$B:$B=$A41)),""))</f>
        <v/>
      </c>
      <c r="F41" s="12" t="n"/>
      <c r="G41" s="13" t="n"/>
      <c r="H41" s="13" t="n"/>
      <c r="I41" s="12" t="n"/>
      <c r="J41" s="12" t="n"/>
      <c r="K41" s="12" t="n"/>
      <c r="L41" s="13" t="n"/>
      <c r="M41" s="13" t="n"/>
      <c r="N41" s="12" t="n"/>
    </row>
    <row r="42">
      <c r="A42" s="11" t="n"/>
      <c r="B42" s="12" t="n"/>
      <c r="C42" s="13" t="n"/>
      <c r="D42" s="12" t="n"/>
      <c r="E42" s="14">
        <f>IF($A42="","",IFERROR(TEXTJOIN(CHAR(10),TRUE,FILTER('Learning Objectives'!$D:$D,'Learning Objectives'!$A:$A="Young Adult",'Learning Objectives'!$B:$B=$A42)),""))</f>
        <v/>
      </c>
      <c r="F42" s="12" t="n"/>
      <c r="G42" s="13" t="n"/>
      <c r="H42" s="13" t="n"/>
      <c r="I42" s="12" t="n"/>
      <c r="J42" s="12" t="n"/>
      <c r="K42" s="12" t="n"/>
      <c r="L42" s="13" t="n"/>
      <c r="M42" s="13" t="n"/>
      <c r="N42" s="12" t="n"/>
    </row>
    <row r="43">
      <c r="A43" s="11" t="n"/>
      <c r="B43" s="12" t="n"/>
      <c r="C43" s="13" t="n"/>
      <c r="D43" s="12" t="n"/>
      <c r="E43" s="14">
        <f>IF($A43="","",IFERROR(TEXTJOIN(CHAR(10),TRUE,FILTER('Learning Objectives'!$D:$D,'Learning Objectives'!$A:$A="Young Adult",'Learning Objectives'!$B:$B=$A43)),""))</f>
        <v/>
      </c>
      <c r="F43" s="12" t="n"/>
      <c r="G43" s="13" t="n"/>
      <c r="H43" s="13" t="n"/>
      <c r="I43" s="12" t="n"/>
      <c r="J43" s="12" t="n"/>
      <c r="K43" s="12" t="n"/>
      <c r="L43" s="13" t="n"/>
      <c r="M43" s="13" t="n"/>
      <c r="N43" s="12" t="n"/>
    </row>
    <row r="44">
      <c r="A44" s="11" t="n"/>
      <c r="B44" s="12" t="n"/>
      <c r="C44" s="13" t="n"/>
      <c r="D44" s="12" t="n"/>
      <c r="E44" s="14">
        <f>IF($A44="","",IFERROR(TEXTJOIN(CHAR(10),TRUE,FILTER('Learning Objectives'!$D:$D,'Learning Objectives'!$A:$A="Young Adult",'Learning Objectives'!$B:$B=$A44)),""))</f>
        <v/>
      </c>
      <c r="F44" s="12" t="n"/>
      <c r="G44" s="13" t="n"/>
      <c r="H44" s="13" t="n"/>
      <c r="I44" s="12" t="n"/>
      <c r="J44" s="12" t="n"/>
      <c r="K44" s="12" t="n"/>
      <c r="L44" s="13" t="n"/>
      <c r="M44" s="13" t="n"/>
      <c r="N44" s="12" t="n"/>
    </row>
    <row r="45">
      <c r="A45" s="11" t="n"/>
      <c r="B45" s="12" t="n"/>
      <c r="C45" s="13" t="n"/>
      <c r="D45" s="12" t="n"/>
      <c r="E45" s="14">
        <f>IF($A45="","",IFERROR(TEXTJOIN(CHAR(10),TRUE,FILTER('Learning Objectives'!$D:$D,'Learning Objectives'!$A:$A="Young Adult",'Learning Objectives'!$B:$B=$A45)),""))</f>
        <v/>
      </c>
      <c r="F45" s="12" t="n"/>
      <c r="G45" s="13" t="n"/>
      <c r="H45" s="13" t="n"/>
      <c r="I45" s="12" t="n"/>
      <c r="J45" s="12" t="n"/>
      <c r="K45" s="12" t="n"/>
      <c r="L45" s="13" t="n"/>
      <c r="M45" s="13" t="n"/>
      <c r="N45" s="12" t="n"/>
    </row>
    <row r="46">
      <c r="A46" s="11" t="n"/>
      <c r="B46" s="12" t="n"/>
      <c r="C46" s="13" t="n"/>
      <c r="D46" s="12" t="n"/>
      <c r="E46" s="14">
        <f>IF($A46="","",IFERROR(TEXTJOIN(CHAR(10),TRUE,FILTER('Learning Objectives'!$D:$D,'Learning Objectives'!$A:$A="Young Adult",'Learning Objectives'!$B:$B=$A46)),""))</f>
        <v/>
      </c>
      <c r="F46" s="12" t="n"/>
      <c r="G46" s="13" t="n"/>
      <c r="H46" s="13" t="n"/>
      <c r="I46" s="12" t="n"/>
      <c r="J46" s="12" t="n"/>
      <c r="K46" s="12" t="n"/>
      <c r="L46" s="13" t="n"/>
      <c r="M46" s="13" t="n"/>
      <c r="N46" s="12" t="n"/>
    </row>
    <row r="47">
      <c r="A47" s="11" t="n"/>
      <c r="B47" s="12" t="n"/>
      <c r="C47" s="13" t="n"/>
      <c r="D47" s="12" t="n"/>
      <c r="E47" s="14">
        <f>IF($A47="","",IFERROR(TEXTJOIN(CHAR(10),TRUE,FILTER('Learning Objectives'!$D:$D,'Learning Objectives'!$A:$A="Young Adult",'Learning Objectives'!$B:$B=$A47)),""))</f>
        <v/>
      </c>
      <c r="F47" s="12" t="n"/>
      <c r="G47" s="13" t="n"/>
      <c r="H47" s="13" t="n"/>
      <c r="I47" s="12" t="n"/>
      <c r="J47" s="12" t="n"/>
      <c r="K47" s="12" t="n"/>
      <c r="L47" s="13" t="n"/>
      <c r="M47" s="13" t="n"/>
      <c r="N47" s="12" t="n"/>
    </row>
    <row r="48">
      <c r="A48" s="11" t="n"/>
      <c r="B48" s="12" t="n"/>
      <c r="C48" s="13" t="n"/>
      <c r="D48" s="12" t="n"/>
      <c r="E48" s="14">
        <f>IF($A48="","",IFERROR(TEXTJOIN(CHAR(10),TRUE,FILTER('Learning Objectives'!$D:$D,'Learning Objectives'!$A:$A="Young Adult",'Learning Objectives'!$B:$B=$A48)),""))</f>
        <v/>
      </c>
      <c r="F48" s="12" t="n"/>
      <c r="G48" s="13" t="n"/>
      <c r="H48" s="13" t="n"/>
      <c r="I48" s="12" t="n"/>
      <c r="J48" s="12" t="n"/>
      <c r="K48" s="12" t="n"/>
      <c r="L48" s="13" t="n"/>
      <c r="M48" s="13" t="n"/>
      <c r="N48" s="12" t="n"/>
    </row>
    <row r="49">
      <c r="A49" s="11" t="n"/>
      <c r="B49" s="12" t="n"/>
      <c r="C49" s="13" t="n"/>
      <c r="D49" s="12" t="n"/>
      <c r="E49" s="14">
        <f>IF($A49="","",IFERROR(TEXTJOIN(CHAR(10),TRUE,FILTER('Learning Objectives'!$D:$D,'Learning Objectives'!$A:$A="Young Adult",'Learning Objectives'!$B:$B=$A49)),""))</f>
        <v/>
      </c>
      <c r="F49" s="12" t="n"/>
      <c r="G49" s="13" t="n"/>
      <c r="H49" s="13" t="n"/>
      <c r="I49" s="12" t="n"/>
      <c r="J49" s="12" t="n"/>
      <c r="K49" s="12" t="n"/>
      <c r="L49" s="13" t="n"/>
      <c r="M49" s="13" t="n"/>
      <c r="N49" s="12" t="n"/>
    </row>
    <row r="50">
      <c r="A50" s="11" t="n"/>
      <c r="B50" s="12" t="n"/>
      <c r="C50" s="13" t="n"/>
      <c r="D50" s="12" t="n"/>
      <c r="E50" s="14">
        <f>IF($A50="","",IFERROR(TEXTJOIN(CHAR(10),TRUE,FILTER('Learning Objectives'!$D:$D,'Learning Objectives'!$A:$A="Young Adult",'Learning Objectives'!$B:$B=$A50)),""))</f>
        <v/>
      </c>
      <c r="F50" s="12" t="n"/>
      <c r="G50" s="13" t="n"/>
      <c r="H50" s="13" t="n"/>
      <c r="I50" s="12" t="n"/>
      <c r="J50" s="12" t="n"/>
      <c r="K50" s="12" t="n"/>
      <c r="L50" s="13" t="n"/>
      <c r="M50" s="13" t="n"/>
      <c r="N50" s="12" t="n"/>
    </row>
    <row r="51">
      <c r="A51" s="11" t="n"/>
      <c r="B51" s="12" t="n"/>
      <c r="C51" s="13" t="n"/>
      <c r="D51" s="12" t="n"/>
      <c r="E51" s="14">
        <f>IF($A51="","",IFERROR(TEXTJOIN(CHAR(10),TRUE,FILTER('Learning Objectives'!$D:$D,'Learning Objectives'!$A:$A="Young Adult",'Learning Objectives'!$B:$B=$A51)),""))</f>
        <v/>
      </c>
      <c r="F51" s="12" t="n"/>
      <c r="G51" s="13" t="n"/>
      <c r="H51" s="13" t="n"/>
      <c r="I51" s="12" t="n"/>
      <c r="J51" s="12" t="n"/>
      <c r="K51" s="12" t="n"/>
      <c r="L51" s="13" t="n"/>
      <c r="M51" s="13" t="n"/>
      <c r="N51" s="12" t="n"/>
    </row>
  </sheetData>
  <autoFilter ref="A1:N1"/>
  <dataValidations count="2">
    <dataValidation sqref="K2:K51" showDropDown="0" showInputMessage="0" showErrorMessage="0" allowBlank="1" error="Pick one of the listed values." type="list">
      <formula1>"Pick the right one,Match things together,Put things in order,Explore and find"</formula1>
    </dataValidation>
    <dataValidation sqref="M2:M51" showDropDown="0" showInputMessage="0" showErrorMessage="1" allowBlank="1" error="Pick one of the listed values." type="list">
      <formula1>"Draft,Ready for Review,Published"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4" customWidth="1" min="3" max="3"/>
    <col width="62" customWidth="1" min="4" max="4"/>
    <col width="14" customWidth="1" min="5" max="5"/>
    <col width="40" customWidth="1" min="6" max="6"/>
  </cols>
  <sheetData>
    <row r="1" ht="42" customHeight="1">
      <c r="A1" s="10" t="inlineStr">
        <is>
          <t>Class</t>
        </is>
      </c>
      <c r="B1" s="10" t="inlineStr">
        <is>
          <t>Chapter</t>
        </is>
      </c>
      <c r="C1" s="10" t="inlineStr">
        <is>
          <t>Objective ID</t>
        </is>
      </c>
      <c r="D1" s="10" t="inlineStr">
        <is>
          <t>Learning Objective</t>
        </is>
      </c>
      <c r="E1" s="10" t="inlineStr">
        <is>
          <t>Priority</t>
        </is>
      </c>
      <c r="F1" s="10" t="inlineStr">
        <is>
          <t>Notes</t>
        </is>
      </c>
    </row>
    <row r="2" ht="54" customHeight="1">
      <c r="A2" s="17" t="inlineStr">
        <is>
          <t>Beginner</t>
        </is>
      </c>
      <c r="B2" s="15" t="n">
        <v>1</v>
      </c>
      <c r="C2" s="19">
        <f>IF(OR($A2="",$B2=""),"",TEXT($B2,"00")&amp;"."&amp;COUNTIFS($A$2:$A2,$A2,$B$2:$B2,$B2))</f>
        <v/>
      </c>
      <c r="D2" s="16" t="inlineStr">
        <is>
          <t>Recognise the key people in the story and their roles.</t>
        </is>
      </c>
      <c r="E2" s="15" t="inlineStr">
        <is>
          <t>Core</t>
        </is>
      </c>
      <c r="F2" s="16" t="inlineStr">
        <is>
          <t>Read back from a game the chapter already contains — not written by a contributor. The class is provisional; see the chapter row.</t>
        </is>
      </c>
    </row>
    <row r="3" ht="54" customHeight="1">
      <c r="A3" s="17" t="inlineStr">
        <is>
          <t>Beginner</t>
        </is>
      </c>
      <c r="B3" s="15" t="n">
        <v>1</v>
      </c>
      <c r="C3" s="19">
        <f>IF(OR($A3="",$B3=""),"",TEXT($B3,"00")&amp;"."&amp;COUNTIFS($A$2:$A3,$A3,$B$2:$B3,$B3))</f>
        <v/>
      </c>
      <c r="D3" s="16" t="inlineStr">
        <is>
          <t>Understand the basic sequence of the Bible story.</t>
        </is>
      </c>
      <c r="E3" s="15" t="inlineStr">
        <is>
          <t>Core</t>
        </is>
      </c>
      <c r="F3" s="16" t="inlineStr">
        <is>
          <t>Read back from a game the chapter already contains — not written by a contributor. The class is provisional; see the chapter row.</t>
        </is>
      </c>
    </row>
    <row r="4" ht="54" customHeight="1">
      <c r="A4" s="17" t="inlineStr">
        <is>
          <t>Beginner</t>
        </is>
      </c>
      <c r="B4" s="15" t="n">
        <v>1</v>
      </c>
      <c r="C4" s="19">
        <f>IF(OR($A4="",$B4=""),"",TEXT($B4,"00")&amp;"."&amp;COUNTIFS($A$2:$A4,$A4,$B$2:$B4,$B4))</f>
        <v/>
      </c>
      <c r="D4" s="16" t="inlineStr">
        <is>
          <t>Remember that Simeon recognised Jesus as the promised Saviour.</t>
        </is>
      </c>
      <c r="E4" s="15" t="inlineStr">
        <is>
          <t>Core</t>
        </is>
      </c>
      <c r="F4" s="16" t="inlineStr">
        <is>
          <t>Read back from a game the chapter already contains — not written by a contributor. The class is provisional; see the chapter row.</t>
        </is>
      </c>
    </row>
    <row r="5" ht="54" customHeight="1">
      <c r="A5" s="17" t="inlineStr">
        <is>
          <t>Beginner</t>
        </is>
      </c>
      <c r="B5" s="15" t="n">
        <v>2</v>
      </c>
      <c r="C5" s="19">
        <f>IF(OR($A5="",$B5=""),"",TEXT($B5,"00")&amp;"."&amp;COUNTIFS($A$2:$A5,$A5,$B$2:$B5,$B5))</f>
        <v/>
      </c>
      <c r="D5" s="16" t="inlineStr">
        <is>
          <t>Recall what happened at the wedding and in what order.</t>
        </is>
      </c>
      <c r="E5" s="15" t="inlineStr">
        <is>
          <t>Core</t>
        </is>
      </c>
      <c r="F5" s="16" t="inlineStr">
        <is>
          <t>Read back from a game the chapter already contains — not written by a contributor. The class is provisional; see the chapter row.</t>
        </is>
      </c>
    </row>
    <row r="6" ht="54" customHeight="1">
      <c r="A6" s="17" t="inlineStr">
        <is>
          <t>Beginner</t>
        </is>
      </c>
      <c r="B6" s="15" t="n">
        <v>2</v>
      </c>
      <c r="C6" s="19">
        <f>IF(OR($A6="",$B6=""),"",TEXT($B6,"00")&amp;"."&amp;COUNTIFS($A$2:$A6,$A6,$B$2:$B6,$B6))</f>
        <v/>
      </c>
      <c r="D6" s="16" t="inlineStr">
        <is>
          <t>Remember that this was the first of Jesus’ miracles.</t>
        </is>
      </c>
      <c r="E6" s="15" t="inlineStr">
        <is>
          <t>Supporting</t>
        </is>
      </c>
      <c r="F6" s="16" t="inlineStr">
        <is>
          <t>Read back from the chapter’s existing ordering activity — not written by a contributor. The class is provisional; see the chapter row.</t>
        </is>
      </c>
    </row>
    <row r="7">
      <c r="A7" s="13" t="n"/>
      <c r="B7" s="11" t="n"/>
      <c r="C7" s="20">
        <f>IF(OR($A7="",$B7=""),"",TEXT($B7,"00")&amp;"."&amp;COUNTIFS($A$2:$A7,$A7,$B$2:$B7,$B7))</f>
        <v/>
      </c>
      <c r="D7" s="12" t="n"/>
      <c r="E7" s="11" t="n"/>
      <c r="F7" s="12" t="n"/>
    </row>
    <row r="8">
      <c r="A8" s="13" t="n"/>
      <c r="B8" s="11" t="n"/>
      <c r="C8" s="20">
        <f>IF(OR($A8="",$B8=""),"",TEXT($B8,"00")&amp;"."&amp;COUNTIFS($A$2:$A8,$A8,$B$2:$B8,$B8))</f>
        <v/>
      </c>
      <c r="D8" s="12" t="n"/>
      <c r="E8" s="11" t="n"/>
      <c r="F8" s="12" t="n"/>
    </row>
    <row r="9">
      <c r="A9" s="13" t="n"/>
      <c r="B9" s="11" t="n"/>
      <c r="C9" s="20">
        <f>IF(OR($A9="",$B9=""),"",TEXT($B9,"00")&amp;"."&amp;COUNTIFS($A$2:$A9,$A9,$B$2:$B9,$B9))</f>
        <v/>
      </c>
      <c r="D9" s="12" t="n"/>
      <c r="E9" s="11" t="n"/>
      <c r="F9" s="12" t="n"/>
    </row>
    <row r="10">
      <c r="A10" s="13" t="n"/>
      <c r="B10" s="11" t="n"/>
      <c r="C10" s="20">
        <f>IF(OR($A10="",$B10=""),"",TEXT($B10,"00")&amp;"."&amp;COUNTIFS($A$2:$A10,$A10,$B$2:$B10,$B10))</f>
        <v/>
      </c>
      <c r="D10" s="12" t="n"/>
      <c r="E10" s="11" t="n"/>
      <c r="F10" s="12" t="n"/>
    </row>
    <row r="11">
      <c r="A11" s="13" t="n"/>
      <c r="B11" s="11" t="n"/>
      <c r="C11" s="20">
        <f>IF(OR($A11="",$B11=""),"",TEXT($B11,"00")&amp;"."&amp;COUNTIFS($A$2:$A11,$A11,$B$2:$B11,$B11))</f>
        <v/>
      </c>
      <c r="D11" s="12" t="n"/>
      <c r="E11" s="11" t="n"/>
      <c r="F11" s="12" t="n"/>
    </row>
    <row r="12">
      <c r="A12" s="13" t="n"/>
      <c r="B12" s="11" t="n"/>
      <c r="C12" s="20">
        <f>IF(OR($A12="",$B12=""),"",TEXT($B12,"00")&amp;"."&amp;COUNTIFS($A$2:$A12,$A12,$B$2:$B12,$B12))</f>
        <v/>
      </c>
      <c r="D12" s="12" t="n"/>
      <c r="E12" s="11" t="n"/>
      <c r="F12" s="12" t="n"/>
    </row>
    <row r="13">
      <c r="A13" s="13" t="n"/>
      <c r="B13" s="11" t="n"/>
      <c r="C13" s="20">
        <f>IF(OR($A13="",$B13=""),"",TEXT($B13,"00")&amp;"."&amp;COUNTIFS($A$2:$A13,$A13,$B$2:$B13,$B13))</f>
        <v/>
      </c>
      <c r="D13" s="12" t="n"/>
      <c r="E13" s="11" t="n"/>
      <c r="F13" s="12" t="n"/>
    </row>
    <row r="14">
      <c r="A14" s="13" t="n"/>
      <c r="B14" s="11" t="n"/>
      <c r="C14" s="20">
        <f>IF(OR($A14="",$B14=""),"",TEXT($B14,"00")&amp;"."&amp;COUNTIFS($A$2:$A14,$A14,$B$2:$B14,$B14))</f>
        <v/>
      </c>
      <c r="D14" s="12" t="n"/>
      <c r="E14" s="11" t="n"/>
      <c r="F14" s="12" t="n"/>
    </row>
    <row r="15">
      <c r="A15" s="13" t="n"/>
      <c r="B15" s="11" t="n"/>
      <c r="C15" s="20">
        <f>IF(OR($A15="",$B15=""),"",TEXT($B15,"00")&amp;"."&amp;COUNTIFS($A$2:$A15,$A15,$B$2:$B15,$B15))</f>
        <v/>
      </c>
      <c r="D15" s="12" t="n"/>
      <c r="E15" s="11" t="n"/>
      <c r="F15" s="12" t="n"/>
    </row>
    <row r="16">
      <c r="A16" s="13" t="n"/>
      <c r="B16" s="11" t="n"/>
      <c r="C16" s="20">
        <f>IF(OR($A16="",$B16=""),"",TEXT($B16,"00")&amp;"."&amp;COUNTIFS($A$2:$A16,$A16,$B$2:$B16,$B16))</f>
        <v/>
      </c>
      <c r="D16" s="12" t="n"/>
      <c r="E16" s="11" t="n"/>
      <c r="F16" s="12" t="n"/>
    </row>
    <row r="17">
      <c r="A17" s="13" t="n"/>
      <c r="B17" s="11" t="n"/>
      <c r="C17" s="20">
        <f>IF(OR($A17="",$B17=""),"",TEXT($B17,"00")&amp;"."&amp;COUNTIFS($A$2:$A17,$A17,$B$2:$B17,$B17))</f>
        <v/>
      </c>
      <c r="D17" s="12" t="n"/>
      <c r="E17" s="11" t="n"/>
      <c r="F17" s="12" t="n"/>
    </row>
    <row r="18">
      <c r="A18" s="13" t="n"/>
      <c r="B18" s="11" t="n"/>
      <c r="C18" s="20">
        <f>IF(OR($A18="",$B18=""),"",TEXT($B18,"00")&amp;"."&amp;COUNTIFS($A$2:$A18,$A18,$B$2:$B18,$B18))</f>
        <v/>
      </c>
      <c r="D18" s="12" t="n"/>
      <c r="E18" s="11" t="n"/>
      <c r="F18" s="12" t="n"/>
    </row>
    <row r="19">
      <c r="A19" s="13" t="n"/>
      <c r="B19" s="11" t="n"/>
      <c r="C19" s="20">
        <f>IF(OR($A19="",$B19=""),"",TEXT($B19,"00")&amp;"."&amp;COUNTIFS($A$2:$A19,$A19,$B$2:$B19,$B19))</f>
        <v/>
      </c>
      <c r="D19" s="12" t="n"/>
      <c r="E19" s="11" t="n"/>
      <c r="F19" s="12" t="n"/>
    </row>
    <row r="20">
      <c r="A20" s="13" t="n"/>
      <c r="B20" s="11" t="n"/>
      <c r="C20" s="20">
        <f>IF(OR($A20="",$B20=""),"",TEXT($B20,"00")&amp;"."&amp;COUNTIFS($A$2:$A20,$A20,$B$2:$B20,$B20))</f>
        <v/>
      </c>
      <c r="D20" s="12" t="n"/>
      <c r="E20" s="11" t="n"/>
      <c r="F20" s="12" t="n"/>
    </row>
    <row r="21">
      <c r="A21" s="13" t="n"/>
      <c r="B21" s="11" t="n"/>
      <c r="C21" s="20">
        <f>IF(OR($A21="",$B21=""),"",TEXT($B21,"00")&amp;"."&amp;COUNTIFS($A$2:$A21,$A21,$B$2:$B21,$B21))</f>
        <v/>
      </c>
      <c r="D21" s="12" t="n"/>
      <c r="E21" s="11" t="n"/>
      <c r="F21" s="12" t="n"/>
    </row>
    <row r="22">
      <c r="A22" s="13" t="n"/>
      <c r="B22" s="11" t="n"/>
      <c r="C22" s="20">
        <f>IF(OR($A22="",$B22=""),"",TEXT($B22,"00")&amp;"."&amp;COUNTIFS($A$2:$A22,$A22,$B$2:$B22,$B22))</f>
        <v/>
      </c>
      <c r="D22" s="12" t="n"/>
      <c r="E22" s="11" t="n"/>
      <c r="F22" s="12" t="n"/>
    </row>
    <row r="23">
      <c r="A23" s="13" t="n"/>
      <c r="B23" s="11" t="n"/>
      <c r="C23" s="20">
        <f>IF(OR($A23="",$B23=""),"",TEXT($B23,"00")&amp;"."&amp;COUNTIFS($A$2:$A23,$A23,$B$2:$B23,$B23))</f>
        <v/>
      </c>
      <c r="D23" s="12" t="n"/>
      <c r="E23" s="11" t="n"/>
      <c r="F23" s="12" t="n"/>
    </row>
    <row r="24">
      <c r="A24" s="13" t="n"/>
      <c r="B24" s="11" t="n"/>
      <c r="C24" s="20">
        <f>IF(OR($A24="",$B24=""),"",TEXT($B24,"00")&amp;"."&amp;COUNTIFS($A$2:$A24,$A24,$B$2:$B24,$B24))</f>
        <v/>
      </c>
      <c r="D24" s="12" t="n"/>
      <c r="E24" s="11" t="n"/>
      <c r="F24" s="12" t="n"/>
    </row>
    <row r="25">
      <c r="A25" s="13" t="n"/>
      <c r="B25" s="11" t="n"/>
      <c r="C25" s="20">
        <f>IF(OR($A25="",$B25=""),"",TEXT($B25,"00")&amp;"."&amp;COUNTIFS($A$2:$A25,$A25,$B$2:$B25,$B25))</f>
        <v/>
      </c>
      <c r="D25" s="12" t="n"/>
      <c r="E25" s="11" t="n"/>
      <c r="F25" s="12" t="n"/>
    </row>
    <row r="26">
      <c r="A26" s="13" t="n"/>
      <c r="B26" s="11" t="n"/>
      <c r="C26" s="20">
        <f>IF(OR($A26="",$B26=""),"",TEXT($B26,"00")&amp;"."&amp;COUNTIFS($A$2:$A26,$A26,$B$2:$B26,$B26))</f>
        <v/>
      </c>
      <c r="D26" s="12" t="n"/>
      <c r="E26" s="11" t="n"/>
      <c r="F26" s="12" t="n"/>
    </row>
    <row r="27">
      <c r="A27" s="13" t="n"/>
      <c r="B27" s="11" t="n"/>
      <c r="C27" s="20">
        <f>IF(OR($A27="",$B27=""),"",TEXT($B27,"00")&amp;"."&amp;COUNTIFS($A$2:$A27,$A27,$B$2:$B27,$B27))</f>
        <v/>
      </c>
      <c r="D27" s="12" t="n"/>
      <c r="E27" s="11" t="n"/>
      <c r="F27" s="12" t="n"/>
    </row>
    <row r="28">
      <c r="A28" s="13" t="n"/>
      <c r="B28" s="11" t="n"/>
      <c r="C28" s="20">
        <f>IF(OR($A28="",$B28=""),"",TEXT($B28,"00")&amp;"."&amp;COUNTIFS($A$2:$A28,$A28,$B$2:$B28,$B28))</f>
        <v/>
      </c>
      <c r="D28" s="12" t="n"/>
      <c r="E28" s="11" t="n"/>
      <c r="F28" s="12" t="n"/>
    </row>
    <row r="29">
      <c r="A29" s="13" t="n"/>
      <c r="B29" s="11" t="n"/>
      <c r="C29" s="20">
        <f>IF(OR($A29="",$B29=""),"",TEXT($B29,"00")&amp;"."&amp;COUNTIFS($A$2:$A29,$A29,$B$2:$B29,$B29))</f>
        <v/>
      </c>
      <c r="D29" s="12" t="n"/>
      <c r="E29" s="11" t="n"/>
      <c r="F29" s="12" t="n"/>
    </row>
    <row r="30">
      <c r="A30" s="13" t="n"/>
      <c r="B30" s="11" t="n"/>
      <c r="C30" s="20">
        <f>IF(OR($A30="",$B30=""),"",TEXT($B30,"00")&amp;"."&amp;COUNTIFS($A$2:$A30,$A30,$B$2:$B30,$B30))</f>
        <v/>
      </c>
      <c r="D30" s="12" t="n"/>
      <c r="E30" s="11" t="n"/>
      <c r="F30" s="12" t="n"/>
    </row>
    <row r="31">
      <c r="A31" s="13" t="n"/>
      <c r="B31" s="11" t="n"/>
      <c r="C31" s="20">
        <f>IF(OR($A31="",$B31=""),"",TEXT($B31,"00")&amp;"."&amp;COUNTIFS($A$2:$A31,$A31,$B$2:$B31,$B31))</f>
        <v/>
      </c>
      <c r="D31" s="12" t="n"/>
      <c r="E31" s="11" t="n"/>
      <c r="F31" s="12" t="n"/>
    </row>
    <row r="32">
      <c r="A32" s="13" t="n"/>
      <c r="B32" s="11" t="n"/>
      <c r="C32" s="20">
        <f>IF(OR($A32="",$B32=""),"",TEXT($B32,"00")&amp;"."&amp;COUNTIFS($A$2:$A32,$A32,$B$2:$B32,$B32))</f>
        <v/>
      </c>
      <c r="D32" s="12" t="n"/>
      <c r="E32" s="11" t="n"/>
      <c r="F32" s="12" t="n"/>
    </row>
    <row r="33">
      <c r="A33" s="13" t="n"/>
      <c r="B33" s="11" t="n"/>
      <c r="C33" s="20">
        <f>IF(OR($A33="",$B33=""),"",TEXT($B33,"00")&amp;"."&amp;COUNTIFS($A$2:$A33,$A33,$B$2:$B33,$B33))</f>
        <v/>
      </c>
      <c r="D33" s="12" t="n"/>
      <c r="E33" s="11" t="n"/>
      <c r="F33" s="12" t="n"/>
    </row>
    <row r="34">
      <c r="A34" s="13" t="n"/>
      <c r="B34" s="11" t="n"/>
      <c r="C34" s="20">
        <f>IF(OR($A34="",$B34=""),"",TEXT($B34,"00")&amp;"."&amp;COUNTIFS($A$2:$A34,$A34,$B$2:$B34,$B34))</f>
        <v/>
      </c>
      <c r="D34" s="12" t="n"/>
      <c r="E34" s="11" t="n"/>
      <c r="F34" s="12" t="n"/>
    </row>
    <row r="35">
      <c r="A35" s="13" t="n"/>
      <c r="B35" s="11" t="n"/>
      <c r="C35" s="20">
        <f>IF(OR($A35="",$B35=""),"",TEXT($B35,"00")&amp;"."&amp;COUNTIFS($A$2:$A35,$A35,$B$2:$B35,$B35))</f>
        <v/>
      </c>
      <c r="D35" s="12" t="n"/>
      <c r="E35" s="11" t="n"/>
      <c r="F35" s="12" t="n"/>
    </row>
    <row r="36">
      <c r="A36" s="13" t="n"/>
      <c r="B36" s="11" t="n"/>
      <c r="C36" s="20">
        <f>IF(OR($A36="",$B36=""),"",TEXT($B36,"00")&amp;"."&amp;COUNTIFS($A$2:$A36,$A36,$B$2:$B36,$B36))</f>
        <v/>
      </c>
      <c r="D36" s="12" t="n"/>
      <c r="E36" s="11" t="n"/>
      <c r="F36" s="12" t="n"/>
    </row>
    <row r="37">
      <c r="A37" s="13" t="n"/>
      <c r="B37" s="11" t="n"/>
      <c r="C37" s="20">
        <f>IF(OR($A37="",$B37=""),"",TEXT($B37,"00")&amp;"."&amp;COUNTIFS($A$2:$A37,$A37,$B$2:$B37,$B37))</f>
        <v/>
      </c>
      <c r="D37" s="12" t="n"/>
      <c r="E37" s="11" t="n"/>
      <c r="F37" s="12" t="n"/>
    </row>
    <row r="38">
      <c r="A38" s="13" t="n"/>
      <c r="B38" s="11" t="n"/>
      <c r="C38" s="20">
        <f>IF(OR($A38="",$B38=""),"",TEXT($B38,"00")&amp;"."&amp;COUNTIFS($A$2:$A38,$A38,$B$2:$B38,$B38))</f>
        <v/>
      </c>
      <c r="D38" s="12" t="n"/>
      <c r="E38" s="11" t="n"/>
      <c r="F38" s="12" t="n"/>
    </row>
    <row r="39">
      <c r="A39" s="13" t="n"/>
      <c r="B39" s="11" t="n"/>
      <c r="C39" s="20">
        <f>IF(OR($A39="",$B39=""),"",TEXT($B39,"00")&amp;"."&amp;COUNTIFS($A$2:$A39,$A39,$B$2:$B39,$B39))</f>
        <v/>
      </c>
      <c r="D39" s="12" t="n"/>
      <c r="E39" s="11" t="n"/>
      <c r="F39" s="12" t="n"/>
    </row>
    <row r="40">
      <c r="A40" s="13" t="n"/>
      <c r="B40" s="11" t="n"/>
      <c r="C40" s="20">
        <f>IF(OR($A40="",$B40=""),"",TEXT($B40,"00")&amp;"."&amp;COUNTIFS($A$2:$A40,$A40,$B$2:$B40,$B40))</f>
        <v/>
      </c>
      <c r="D40" s="12" t="n"/>
      <c r="E40" s="11" t="n"/>
      <c r="F40" s="12" t="n"/>
    </row>
    <row r="41">
      <c r="A41" s="13" t="n"/>
      <c r="B41" s="11" t="n"/>
      <c r="C41" s="20">
        <f>IF(OR($A41="",$B41=""),"",TEXT($B41,"00")&amp;"."&amp;COUNTIFS($A$2:$A41,$A41,$B$2:$B41,$B41))</f>
        <v/>
      </c>
      <c r="D41" s="12" t="n"/>
      <c r="E41" s="11" t="n"/>
      <c r="F41" s="12" t="n"/>
    </row>
    <row r="42">
      <c r="A42" s="13" t="n"/>
      <c r="B42" s="11" t="n"/>
      <c r="C42" s="20">
        <f>IF(OR($A42="",$B42=""),"",TEXT($B42,"00")&amp;"."&amp;COUNTIFS($A$2:$A42,$A42,$B$2:$B42,$B42))</f>
        <v/>
      </c>
      <c r="D42" s="12" t="n"/>
      <c r="E42" s="11" t="n"/>
      <c r="F42" s="12" t="n"/>
    </row>
    <row r="43">
      <c r="A43" s="13" t="n"/>
      <c r="B43" s="11" t="n"/>
      <c r="C43" s="20">
        <f>IF(OR($A43="",$B43=""),"",TEXT($B43,"00")&amp;"."&amp;COUNTIFS($A$2:$A43,$A43,$B$2:$B43,$B43))</f>
        <v/>
      </c>
      <c r="D43" s="12" t="n"/>
      <c r="E43" s="11" t="n"/>
      <c r="F43" s="12" t="n"/>
    </row>
    <row r="44">
      <c r="A44" s="13" t="n"/>
      <c r="B44" s="11" t="n"/>
      <c r="C44" s="20">
        <f>IF(OR($A44="",$B44=""),"",TEXT($B44,"00")&amp;"."&amp;COUNTIFS($A$2:$A44,$A44,$B$2:$B44,$B44))</f>
        <v/>
      </c>
      <c r="D44" s="12" t="n"/>
      <c r="E44" s="11" t="n"/>
      <c r="F44" s="12" t="n"/>
    </row>
    <row r="45">
      <c r="A45" s="13" t="n"/>
      <c r="B45" s="11" t="n"/>
      <c r="C45" s="20">
        <f>IF(OR($A45="",$B45=""),"",TEXT($B45,"00")&amp;"."&amp;COUNTIFS($A$2:$A45,$A45,$B$2:$B45,$B45))</f>
        <v/>
      </c>
      <c r="D45" s="12" t="n"/>
      <c r="E45" s="11" t="n"/>
      <c r="F45" s="12" t="n"/>
    </row>
    <row r="46">
      <c r="A46" s="13" t="n"/>
      <c r="B46" s="11" t="n"/>
      <c r="C46" s="20">
        <f>IF(OR($A46="",$B46=""),"",TEXT($B46,"00")&amp;"."&amp;COUNTIFS($A$2:$A46,$A46,$B$2:$B46,$B46))</f>
        <v/>
      </c>
      <c r="D46" s="12" t="n"/>
      <c r="E46" s="11" t="n"/>
      <c r="F46" s="12" t="n"/>
    </row>
    <row r="47">
      <c r="A47" s="13" t="n"/>
      <c r="B47" s="11" t="n"/>
      <c r="C47" s="20">
        <f>IF(OR($A47="",$B47=""),"",TEXT($B47,"00")&amp;"."&amp;COUNTIFS($A$2:$A47,$A47,$B$2:$B47,$B47))</f>
        <v/>
      </c>
      <c r="D47" s="12" t="n"/>
      <c r="E47" s="11" t="n"/>
      <c r="F47" s="12" t="n"/>
    </row>
    <row r="48">
      <c r="A48" s="13" t="n"/>
      <c r="B48" s="11" t="n"/>
      <c r="C48" s="20">
        <f>IF(OR($A48="",$B48=""),"",TEXT($B48,"00")&amp;"."&amp;COUNTIFS($A$2:$A48,$A48,$B$2:$B48,$B48))</f>
        <v/>
      </c>
      <c r="D48" s="12" t="n"/>
      <c r="E48" s="11" t="n"/>
      <c r="F48" s="12" t="n"/>
    </row>
    <row r="49">
      <c r="A49" s="13" t="n"/>
      <c r="B49" s="11" t="n"/>
      <c r="C49" s="20">
        <f>IF(OR($A49="",$B49=""),"",TEXT($B49,"00")&amp;"."&amp;COUNTIFS($A$2:$A49,$A49,$B$2:$B49,$B49))</f>
        <v/>
      </c>
      <c r="D49" s="12" t="n"/>
      <c r="E49" s="11" t="n"/>
      <c r="F49" s="12" t="n"/>
    </row>
    <row r="50">
      <c r="A50" s="13" t="n"/>
      <c r="B50" s="11" t="n"/>
      <c r="C50" s="20">
        <f>IF(OR($A50="",$B50=""),"",TEXT($B50,"00")&amp;"."&amp;COUNTIFS($A$2:$A50,$A50,$B$2:$B50,$B50))</f>
        <v/>
      </c>
      <c r="D50" s="12" t="n"/>
      <c r="E50" s="11" t="n"/>
      <c r="F50" s="12" t="n"/>
    </row>
    <row r="51">
      <c r="A51" s="13" t="n"/>
      <c r="B51" s="11" t="n"/>
      <c r="C51" s="20">
        <f>IF(OR($A51="",$B51=""),"",TEXT($B51,"00")&amp;"."&amp;COUNTIFS($A$2:$A51,$A51,$B$2:$B51,$B51))</f>
        <v/>
      </c>
      <c r="D51" s="12" t="n"/>
      <c r="E51" s="11" t="n"/>
      <c r="F51" s="12" t="n"/>
    </row>
    <row r="52">
      <c r="A52" s="13" t="n"/>
      <c r="B52" s="11" t="n"/>
      <c r="C52" s="20">
        <f>IF(OR($A52="",$B52=""),"",TEXT($B52,"00")&amp;"."&amp;COUNTIFS($A$2:$A52,$A52,$B$2:$B52,$B52))</f>
        <v/>
      </c>
      <c r="D52" s="12" t="n"/>
      <c r="E52" s="11" t="n"/>
      <c r="F52" s="12" t="n"/>
    </row>
    <row r="53">
      <c r="A53" s="13" t="n"/>
      <c r="B53" s="11" t="n"/>
      <c r="C53" s="20">
        <f>IF(OR($A53="",$B53=""),"",TEXT($B53,"00")&amp;"."&amp;COUNTIFS($A$2:$A53,$A53,$B$2:$B53,$B53))</f>
        <v/>
      </c>
      <c r="D53" s="12" t="n"/>
      <c r="E53" s="11" t="n"/>
      <c r="F53" s="12" t="n"/>
    </row>
    <row r="54">
      <c r="A54" s="13" t="n"/>
      <c r="B54" s="11" t="n"/>
      <c r="C54" s="20">
        <f>IF(OR($A54="",$B54=""),"",TEXT($B54,"00")&amp;"."&amp;COUNTIFS($A$2:$A54,$A54,$B$2:$B54,$B54))</f>
        <v/>
      </c>
      <c r="D54" s="12" t="n"/>
      <c r="E54" s="11" t="n"/>
      <c r="F54" s="12" t="n"/>
    </row>
    <row r="55">
      <c r="A55" s="13" t="n"/>
      <c r="B55" s="11" t="n"/>
      <c r="C55" s="20">
        <f>IF(OR($A55="",$B55=""),"",TEXT($B55,"00")&amp;"."&amp;COUNTIFS($A$2:$A55,$A55,$B$2:$B55,$B55))</f>
        <v/>
      </c>
      <c r="D55" s="12" t="n"/>
      <c r="E55" s="11" t="n"/>
      <c r="F55" s="12" t="n"/>
    </row>
    <row r="56">
      <c r="A56" s="13" t="n"/>
      <c r="B56" s="11" t="n"/>
      <c r="C56" s="20">
        <f>IF(OR($A56="",$B56=""),"",TEXT($B56,"00")&amp;"."&amp;COUNTIFS($A$2:$A56,$A56,$B$2:$B56,$B56))</f>
        <v/>
      </c>
      <c r="D56" s="12" t="n"/>
      <c r="E56" s="11" t="n"/>
      <c r="F56" s="12" t="n"/>
    </row>
    <row r="57">
      <c r="A57" s="13" t="n"/>
      <c r="B57" s="11" t="n"/>
      <c r="C57" s="20">
        <f>IF(OR($A57="",$B57=""),"",TEXT($B57,"00")&amp;"."&amp;COUNTIFS($A$2:$A57,$A57,$B$2:$B57,$B57))</f>
        <v/>
      </c>
      <c r="D57" s="12" t="n"/>
      <c r="E57" s="11" t="n"/>
      <c r="F57" s="12" t="n"/>
    </row>
    <row r="58">
      <c r="A58" s="13" t="n"/>
      <c r="B58" s="11" t="n"/>
      <c r="C58" s="20">
        <f>IF(OR($A58="",$B58=""),"",TEXT($B58,"00")&amp;"."&amp;COUNTIFS($A$2:$A58,$A58,$B$2:$B58,$B58))</f>
        <v/>
      </c>
      <c r="D58" s="12" t="n"/>
      <c r="E58" s="11" t="n"/>
      <c r="F58" s="12" t="n"/>
    </row>
    <row r="59">
      <c r="A59" s="13" t="n"/>
      <c r="B59" s="11" t="n"/>
      <c r="C59" s="20">
        <f>IF(OR($A59="",$B59=""),"",TEXT($B59,"00")&amp;"."&amp;COUNTIFS($A$2:$A59,$A59,$B$2:$B59,$B59))</f>
        <v/>
      </c>
      <c r="D59" s="12" t="n"/>
      <c r="E59" s="11" t="n"/>
      <c r="F59" s="12" t="n"/>
    </row>
    <row r="60">
      <c r="A60" s="13" t="n"/>
      <c r="B60" s="11" t="n"/>
      <c r="C60" s="20">
        <f>IF(OR($A60="",$B60=""),"",TEXT($B60,"00")&amp;"."&amp;COUNTIFS($A$2:$A60,$A60,$B$2:$B60,$B60))</f>
        <v/>
      </c>
      <c r="D60" s="12" t="n"/>
      <c r="E60" s="11" t="n"/>
      <c r="F60" s="12" t="n"/>
    </row>
    <row r="61">
      <c r="A61" s="13" t="n"/>
      <c r="B61" s="11" t="n"/>
      <c r="C61" s="20">
        <f>IF(OR($A61="",$B61=""),"",TEXT($B61,"00")&amp;"."&amp;COUNTIFS($A$2:$A61,$A61,$B$2:$B61,$B61))</f>
        <v/>
      </c>
      <c r="D61" s="12" t="n"/>
      <c r="E61" s="11" t="n"/>
      <c r="F61" s="12" t="n"/>
    </row>
    <row r="62">
      <c r="A62" s="13" t="n"/>
      <c r="B62" s="11" t="n"/>
      <c r="C62" s="20">
        <f>IF(OR($A62="",$B62=""),"",TEXT($B62,"00")&amp;"."&amp;COUNTIFS($A$2:$A62,$A62,$B$2:$B62,$B62))</f>
        <v/>
      </c>
      <c r="D62" s="12" t="n"/>
      <c r="E62" s="11" t="n"/>
      <c r="F62" s="12" t="n"/>
    </row>
    <row r="63">
      <c r="A63" s="13" t="n"/>
      <c r="B63" s="11" t="n"/>
      <c r="C63" s="20">
        <f>IF(OR($A63="",$B63=""),"",TEXT($B63,"00")&amp;"."&amp;COUNTIFS($A$2:$A63,$A63,$B$2:$B63,$B63))</f>
        <v/>
      </c>
      <c r="D63" s="12" t="n"/>
      <c r="E63" s="11" t="n"/>
      <c r="F63" s="12" t="n"/>
    </row>
    <row r="64">
      <c r="A64" s="13" t="n"/>
      <c r="B64" s="11" t="n"/>
      <c r="C64" s="20">
        <f>IF(OR($A64="",$B64=""),"",TEXT($B64,"00")&amp;"."&amp;COUNTIFS($A$2:$A64,$A64,$B$2:$B64,$B64))</f>
        <v/>
      </c>
      <c r="D64" s="12" t="n"/>
      <c r="E64" s="11" t="n"/>
      <c r="F64" s="12" t="n"/>
    </row>
    <row r="65">
      <c r="A65" s="13" t="n"/>
      <c r="B65" s="11" t="n"/>
      <c r="C65" s="20">
        <f>IF(OR($A65="",$B65=""),"",TEXT($B65,"00")&amp;"."&amp;COUNTIFS($A$2:$A65,$A65,$B$2:$B65,$B65))</f>
        <v/>
      </c>
      <c r="D65" s="12" t="n"/>
      <c r="E65" s="11" t="n"/>
      <c r="F65" s="12" t="n"/>
    </row>
    <row r="66">
      <c r="A66" s="13" t="n"/>
      <c r="B66" s="11" t="n"/>
      <c r="C66" s="20">
        <f>IF(OR($A66="",$B66=""),"",TEXT($B66,"00")&amp;"."&amp;COUNTIFS($A$2:$A66,$A66,$B$2:$B66,$B66))</f>
        <v/>
      </c>
      <c r="D66" s="12" t="n"/>
      <c r="E66" s="11" t="n"/>
      <c r="F66" s="12" t="n"/>
    </row>
    <row r="67">
      <c r="A67" s="13" t="n"/>
      <c r="B67" s="11" t="n"/>
      <c r="C67" s="20">
        <f>IF(OR($A67="",$B67=""),"",TEXT($B67,"00")&amp;"."&amp;COUNTIFS($A$2:$A67,$A67,$B$2:$B67,$B67))</f>
        <v/>
      </c>
      <c r="D67" s="12" t="n"/>
      <c r="E67" s="11" t="n"/>
      <c r="F67" s="12" t="n"/>
    </row>
    <row r="68">
      <c r="A68" s="13" t="n"/>
      <c r="B68" s="11" t="n"/>
      <c r="C68" s="20">
        <f>IF(OR($A68="",$B68=""),"",TEXT($B68,"00")&amp;"."&amp;COUNTIFS($A$2:$A68,$A68,$B$2:$B68,$B68))</f>
        <v/>
      </c>
      <c r="D68" s="12" t="n"/>
      <c r="E68" s="11" t="n"/>
      <c r="F68" s="12" t="n"/>
    </row>
    <row r="69">
      <c r="A69" s="13" t="n"/>
      <c r="B69" s="11" t="n"/>
      <c r="C69" s="20">
        <f>IF(OR($A69="",$B69=""),"",TEXT($B69,"00")&amp;"."&amp;COUNTIFS($A$2:$A69,$A69,$B$2:$B69,$B69))</f>
        <v/>
      </c>
      <c r="D69" s="12" t="n"/>
      <c r="E69" s="11" t="n"/>
      <c r="F69" s="12" t="n"/>
    </row>
    <row r="70">
      <c r="A70" s="13" t="n"/>
      <c r="B70" s="11" t="n"/>
      <c r="C70" s="20">
        <f>IF(OR($A70="",$B70=""),"",TEXT($B70,"00")&amp;"."&amp;COUNTIFS($A$2:$A70,$A70,$B$2:$B70,$B70))</f>
        <v/>
      </c>
      <c r="D70" s="12" t="n"/>
      <c r="E70" s="11" t="n"/>
      <c r="F70" s="12" t="n"/>
    </row>
    <row r="71">
      <c r="A71" s="13" t="n"/>
      <c r="B71" s="11" t="n"/>
      <c r="C71" s="20">
        <f>IF(OR($A71="",$B71=""),"",TEXT($B71,"00")&amp;"."&amp;COUNTIFS($A$2:$A71,$A71,$B$2:$B71,$B71))</f>
        <v/>
      </c>
      <c r="D71" s="12" t="n"/>
      <c r="E71" s="11" t="n"/>
      <c r="F71" s="12" t="n"/>
    </row>
    <row r="72">
      <c r="A72" s="13" t="n"/>
      <c r="B72" s="11" t="n"/>
      <c r="C72" s="20">
        <f>IF(OR($A72="",$B72=""),"",TEXT($B72,"00")&amp;"."&amp;COUNTIFS($A$2:$A72,$A72,$B$2:$B72,$B72))</f>
        <v/>
      </c>
      <c r="D72" s="12" t="n"/>
      <c r="E72" s="11" t="n"/>
      <c r="F72" s="12" t="n"/>
    </row>
    <row r="73">
      <c r="A73" s="13" t="n"/>
      <c r="B73" s="11" t="n"/>
      <c r="C73" s="20">
        <f>IF(OR($A73="",$B73=""),"",TEXT($B73,"00")&amp;"."&amp;COUNTIFS($A$2:$A73,$A73,$B$2:$B73,$B73))</f>
        <v/>
      </c>
      <c r="D73" s="12" t="n"/>
      <c r="E73" s="11" t="n"/>
      <c r="F73" s="12" t="n"/>
    </row>
    <row r="74">
      <c r="A74" s="13" t="n"/>
      <c r="B74" s="11" t="n"/>
      <c r="C74" s="20">
        <f>IF(OR($A74="",$B74=""),"",TEXT($B74,"00")&amp;"."&amp;COUNTIFS($A$2:$A74,$A74,$B$2:$B74,$B74))</f>
        <v/>
      </c>
      <c r="D74" s="12" t="n"/>
      <c r="E74" s="11" t="n"/>
      <c r="F74" s="12" t="n"/>
    </row>
    <row r="75">
      <c r="A75" s="13" t="n"/>
      <c r="B75" s="11" t="n"/>
      <c r="C75" s="20">
        <f>IF(OR($A75="",$B75=""),"",TEXT($B75,"00")&amp;"."&amp;COUNTIFS($A$2:$A75,$A75,$B$2:$B75,$B75))</f>
        <v/>
      </c>
      <c r="D75" s="12" t="n"/>
      <c r="E75" s="11" t="n"/>
      <c r="F75" s="12" t="n"/>
    </row>
    <row r="76">
      <c r="A76" s="13" t="n"/>
      <c r="B76" s="11" t="n"/>
      <c r="C76" s="20">
        <f>IF(OR($A76="",$B76=""),"",TEXT($B76,"00")&amp;"."&amp;COUNTIFS($A$2:$A76,$A76,$B$2:$B76,$B76))</f>
        <v/>
      </c>
      <c r="D76" s="12" t="n"/>
      <c r="E76" s="11" t="n"/>
      <c r="F76" s="12" t="n"/>
    </row>
    <row r="77">
      <c r="A77" s="13" t="n"/>
      <c r="B77" s="11" t="n"/>
      <c r="C77" s="20">
        <f>IF(OR($A77="",$B77=""),"",TEXT($B77,"00")&amp;"."&amp;COUNTIFS($A$2:$A77,$A77,$B$2:$B77,$B77))</f>
        <v/>
      </c>
      <c r="D77" s="12" t="n"/>
      <c r="E77" s="11" t="n"/>
      <c r="F77" s="12" t="n"/>
    </row>
    <row r="78">
      <c r="A78" s="13" t="n"/>
      <c r="B78" s="11" t="n"/>
      <c r="C78" s="20">
        <f>IF(OR($A78="",$B78=""),"",TEXT($B78,"00")&amp;"."&amp;COUNTIFS($A$2:$A78,$A78,$B$2:$B78,$B78))</f>
        <v/>
      </c>
      <c r="D78" s="12" t="n"/>
      <c r="E78" s="11" t="n"/>
      <c r="F78" s="12" t="n"/>
    </row>
    <row r="79">
      <c r="A79" s="13" t="n"/>
      <c r="B79" s="11" t="n"/>
      <c r="C79" s="20">
        <f>IF(OR($A79="",$B79=""),"",TEXT($B79,"00")&amp;"."&amp;COUNTIFS($A$2:$A79,$A79,$B$2:$B79,$B79))</f>
        <v/>
      </c>
      <c r="D79" s="12" t="n"/>
      <c r="E79" s="11" t="n"/>
      <c r="F79" s="12" t="n"/>
    </row>
    <row r="80">
      <c r="A80" s="13" t="n"/>
      <c r="B80" s="11" t="n"/>
      <c r="C80" s="20">
        <f>IF(OR($A80="",$B80=""),"",TEXT($B80,"00")&amp;"."&amp;COUNTIFS($A$2:$A80,$A80,$B$2:$B80,$B80))</f>
        <v/>
      </c>
      <c r="D80" s="12" t="n"/>
      <c r="E80" s="11" t="n"/>
      <c r="F80" s="12" t="n"/>
    </row>
    <row r="81">
      <c r="A81" s="13" t="n"/>
      <c r="B81" s="11" t="n"/>
      <c r="C81" s="20">
        <f>IF(OR($A81="",$B81=""),"",TEXT($B81,"00")&amp;"."&amp;COUNTIFS($A$2:$A81,$A81,$B$2:$B81,$B81))</f>
        <v/>
      </c>
      <c r="D81" s="12" t="n"/>
      <c r="E81" s="11" t="n"/>
      <c r="F81" s="12" t="n"/>
    </row>
  </sheetData>
  <autoFilter ref="A1:F1"/>
  <dataValidations count="2">
    <dataValidation sqref="A2:A81" showDropDown="0" showInputMessage="0" showErrorMessage="1" allowBlank="1" error="Pick one of the listed values." type="list">
      <formula1>"Nursery,Beginner,Primary,Junior,Intermediate,Senior,Young Adult"</formula1>
    </dataValidation>
    <dataValidation sqref="E2:E81" showDropDown="0" showInputMessage="0" showErrorMessage="1" allowBlank="1" error="Pick one of the listed values." type="list">
      <formula1>"Core,Supporting"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2026-09-13T17:01:03Z</dcterms:created>
  <dcterms:modified xsi:type="dcterms:W3CDTF">2026-09-13T17:01:03Z</dcterms:modified>
</cp:coreProperties>
</file>